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https://d.docs.live.net/097fae2e57f1130e/Documents/LMS PPTs/Excel/"/>
    </mc:Choice>
  </mc:AlternateContent>
  <xr:revisionPtr revIDLastSave="14" documentId="13_ncr:1_{1231AD01-FF1E-47A5-961A-DE0B76231E69}" xr6:coauthVersionLast="47" xr6:coauthVersionMax="47" xr10:uidLastSave="{6622D8DB-BB12-48DA-B7F6-88C7C092FD64}"/>
  <bookViews>
    <workbookView xWindow="-120" yWindow="-120" windowWidth="20730" windowHeight="11040" firstSheet="2" activeTab="7" xr2:uid="{BF86688C-CADD-4C78-8352-88C283364B12}"/>
  </bookViews>
  <sheets>
    <sheet name="Index" sheetId="4" r:id="rId1"/>
    <sheet name="Topics" sheetId="12" r:id="rId2"/>
    <sheet name="Notes" sheetId="14" r:id="rId3"/>
    <sheet name="PT Practice" sheetId="28" r:id="rId4"/>
    <sheet name="Pivot Table" sheetId="20" r:id="rId5"/>
    <sheet name="Raw Data" sheetId="15" r:id="rId6"/>
    <sheet name="If Function" sheetId="17" r:id="rId7"/>
    <sheet name="Assesment" sheetId="31" r:id="rId8"/>
    <sheet name="AND-OR" sheetId="29" r:id="rId9"/>
    <sheet name="Nested IF" sheetId="30" r:id="rId10"/>
    <sheet name="IF Practice sheet " sheetId="23" r:id="rId11"/>
    <sheet name="Sheet10" sheetId="2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52" i="30" l="1"/>
  <c r="H52" i="30"/>
  <c r="I51" i="30"/>
  <c r="H51" i="30"/>
  <c r="I50" i="30"/>
  <c r="H50" i="30"/>
  <c r="I49" i="30"/>
  <c r="H49" i="30"/>
  <c r="I48" i="30"/>
  <c r="H48" i="30"/>
  <c r="I47" i="30"/>
  <c r="H47" i="30"/>
  <c r="I46" i="30"/>
  <c r="H46" i="30"/>
  <c r="I45" i="30"/>
  <c r="H45" i="30"/>
  <c r="I44" i="30"/>
  <c r="H44" i="30"/>
  <c r="I43" i="30"/>
  <c r="H43" i="30"/>
  <c r="I42" i="30"/>
  <c r="H42" i="30"/>
  <c r="I41" i="30"/>
  <c r="H41" i="30"/>
  <c r="I40" i="30"/>
  <c r="H40" i="30"/>
  <c r="I39" i="30"/>
  <c r="H39" i="30"/>
  <c r="I38" i="30"/>
  <c r="H38" i="30"/>
  <c r="I37" i="30"/>
  <c r="H37" i="30"/>
  <c r="I36" i="30"/>
  <c r="H36" i="30"/>
  <c r="I35" i="30"/>
  <c r="H35" i="30"/>
  <c r="I34" i="30"/>
  <c r="H34" i="30"/>
  <c r="I33" i="30"/>
  <c r="H33" i="30"/>
  <c r="I32" i="30"/>
  <c r="H32" i="30"/>
  <c r="I31" i="30"/>
  <c r="H31" i="30"/>
  <c r="I30" i="30"/>
  <c r="H30" i="30"/>
  <c r="I29" i="30"/>
  <c r="H29" i="30"/>
  <c r="I28" i="30"/>
  <c r="H28" i="30"/>
  <c r="I27" i="30"/>
  <c r="H27" i="30"/>
  <c r="I26" i="30"/>
  <c r="H26" i="30"/>
  <c r="I25" i="30"/>
  <c r="H25" i="30"/>
  <c r="I24" i="30"/>
  <c r="H24" i="30"/>
  <c r="I23" i="30"/>
  <c r="H23" i="30"/>
  <c r="I22" i="30"/>
  <c r="H22" i="30"/>
  <c r="I21" i="30"/>
  <c r="H21" i="30"/>
  <c r="I20" i="30"/>
  <c r="H20" i="30"/>
  <c r="I19" i="30"/>
  <c r="H19" i="30"/>
  <c r="I18" i="30"/>
  <c r="H18" i="30"/>
  <c r="I17" i="30"/>
  <c r="H17" i="30"/>
  <c r="I16" i="30"/>
  <c r="H16" i="30"/>
  <c r="I15" i="30"/>
  <c r="H15" i="30"/>
  <c r="I14" i="30"/>
  <c r="H14" i="30"/>
  <c r="I13" i="30"/>
  <c r="H13" i="30"/>
  <c r="I12" i="30"/>
  <c r="H12" i="30"/>
  <c r="I11" i="30"/>
  <c r="H11" i="30"/>
  <c r="I10" i="30"/>
  <c r="H10" i="30"/>
  <c r="I9" i="30"/>
  <c r="H9" i="30"/>
  <c r="I8" i="30"/>
  <c r="H8" i="30"/>
  <c r="I7" i="30"/>
  <c r="H7" i="30"/>
  <c r="I6" i="30"/>
  <c r="H6" i="30"/>
  <c r="I5" i="30"/>
  <c r="H5" i="30"/>
  <c r="I4" i="30"/>
  <c r="H4" i="30"/>
  <c r="I3" i="30"/>
  <c r="H3" i="30"/>
  <c r="K51" i="29"/>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2" i="17"/>
  <c r="L30" i="17"/>
  <c r="P15" i="17"/>
  <c r="P16" i="17" s="1"/>
  <c r="P14" i="17"/>
  <c r="P17" i="17" s="1"/>
  <c r="P13" i="17"/>
</calcChain>
</file>

<file path=xl/sharedStrings.xml><?xml version="1.0" encoding="utf-8"?>
<sst xmlns="http://schemas.openxmlformats.org/spreadsheetml/2006/main" count="1818" uniqueCount="696">
  <si>
    <t>Alignment, Number, Styles (Conditional Formatting, Format as Table, Cells Styels)
Basic Formulas (SUM,COUNT,MIN, MAX,AVERAGE)</t>
  </si>
  <si>
    <t>Introduction to MS Excel (Rows, Columns, Sheets etc.)
Basic Efficiency tools (Home Tab, Inset, Page Layout, Formulas)
Navigating Excel Interface (Adding, Renaming, and Deleting Worksheets, Moving and Copying Worksheets)
MS Excel Frequenlty used shortcuts</t>
  </si>
  <si>
    <t>Functions (Frequently used IF functions)
Essential Lookup Functions
Pivot Tables
Hands-on (Group activity)</t>
  </si>
  <si>
    <t>Editing (Sort &amp; Filter, Find &amp; Replace)
Data Tools (Text to Columns, Data Validation, Remove Duplicates)
Outline (Group &amp; Ungroup)</t>
  </si>
  <si>
    <t>Practice session (Group activity) - Flip Class (topics covered till Day 4)</t>
  </si>
  <si>
    <t>Advanced Formulas and Functions:
Logical Functions (IF, AND, OR, NOT)
Text Functions (LEFT, RIGHT, MID, CONCATENATE, TEXT)
Date and Time Functions (DATE, TIME, YEAR, MONTH, DAY, NETWORK DAYS)</t>
  </si>
  <si>
    <t>Lookup and Reference Functions (VLOOKUP, HLOOKUP, INDEX, MATCH) VLookUp
Array Formulas
Error Handling Functions (IFERROR, ISERROR)
Additional Efficiency Tool &amp; Hands on</t>
  </si>
  <si>
    <t>Creating and Formatting Charts (bar, line, pie)
Relative, Absolute, and Mixed References
COUNTIF,SUMIF, AVERAGEIF + NESTEDIF</t>
  </si>
  <si>
    <t>Subtotals
Pivot Charts
Custom Sort</t>
  </si>
  <si>
    <r>
      <t xml:space="preserve">Practice session (Group activity) - </t>
    </r>
    <r>
      <rPr>
        <b/>
        <sz val="10"/>
        <color theme="1"/>
        <rFont val="Cambria"/>
        <family val="1"/>
      </rPr>
      <t>Flip Class</t>
    </r>
    <r>
      <rPr>
        <sz val="10"/>
        <color theme="1"/>
        <rFont val="Cambria"/>
        <family val="1"/>
      </rPr>
      <t xml:space="preserve"> (all topics covered on MS Excel)</t>
    </r>
  </si>
  <si>
    <t>Day 1</t>
  </si>
  <si>
    <t>Day 2</t>
  </si>
  <si>
    <t>Day 3</t>
  </si>
  <si>
    <t>Day 4</t>
  </si>
  <si>
    <t>Day 5</t>
  </si>
  <si>
    <t>Day 6</t>
  </si>
  <si>
    <t>Day 7</t>
  </si>
  <si>
    <t>Day 8</t>
  </si>
  <si>
    <t>Day 9</t>
  </si>
  <si>
    <t>Day 10</t>
  </si>
  <si>
    <t>Basic Excel</t>
  </si>
  <si>
    <t>Sub-Topic</t>
  </si>
  <si>
    <t>Real Life Example</t>
  </si>
  <si>
    <t>Functions (Frequently used IF functions)</t>
  </si>
  <si>
    <t>Essential Lookup Functions</t>
  </si>
  <si>
    <t>Pivot Tables</t>
  </si>
  <si>
    <t>Hands-on (Group activity)</t>
  </si>
  <si>
    <t>Explanation (with Syntax)</t>
  </si>
  <si>
    <t>What is IF Function?</t>
  </si>
  <si>
    <t>Simple IF</t>
  </si>
  <si>
    <t>Checking if someone’s age ≥ 18 → “Adult,” else “Minor.”</t>
  </si>
  <si>
    <t>Nested IF</t>
  </si>
  <si>
    <t>In a marksheet: ≥90 = A, ≥75 = B, else = C.</t>
  </si>
  <si>
    <t>IF with AND</t>
  </si>
  <si>
    <t>IF with OR</t>
  </si>
  <si>
    <t>If a student passes in at least one subject → “Pass,” else “Fail.”</t>
  </si>
  <si>
    <t>The IF function is used to check whether a condition is TRUE or FALSE. Syntax: =IF(logical_test, value_if_true, value_if_false)</t>
  </si>
  <si>
    <t>A teacher saying: If marks ≥ 40 → Pass, else → Fail.</t>
  </si>
  <si>
    <t>Tests a single condition. Syntax: =IF(A2&gt;=40,"Pass","Fail")</t>
  </si>
  <si>
    <t>Uses multiple IF functions inside one another for multiple conditions. Syntax: =IF(A2&gt;=90,"Grade A",IF(A2&gt;=75,"Grade B","Grade C"))</t>
  </si>
  <si>
    <t>Combines IF with AND to test if multiple conditions are TRUE. Syntax: =IF(AND(A2&gt;=50,B2&gt;=75),"Eligible","Not Eligible")</t>
  </si>
  <si>
    <t>Scholarship check: If marks ≥ 50 and attendance ≥ 75%, then “Eligible.”</t>
  </si>
  <si>
    <t>Combines IF with OR to test if at least one condition is TRUE. Syntax: =IF(OR(A2&gt;=40,B2&gt;=40),"Pass","Fail")</t>
  </si>
  <si>
    <t>VLOOKUP</t>
  </si>
  <si>
    <r>
      <t xml:space="preserve">VLOOKUP (Vertical Lookup) is used to search a value in the first column of a table and return a value from another column. </t>
    </r>
    <r>
      <rPr>
        <b/>
        <sz val="11"/>
        <color theme="1"/>
        <rFont val="Trebuchet MS"/>
        <family val="2"/>
        <scheme val="minor"/>
      </rPr>
      <t>Syntax:</t>
    </r>
    <r>
      <rPr>
        <sz val="11"/>
        <color theme="1"/>
        <rFont val="Trebuchet MS"/>
        <family val="2"/>
        <scheme val="minor"/>
      </rPr>
      <t xml:space="preserve"> </t>
    </r>
    <r>
      <rPr>
        <sz val="10"/>
        <color theme="1"/>
        <rFont val="Arial Unicode MS"/>
      </rPr>
      <t>=VLOOKUP(lookup_value, table_array, col_index_num, [range_lookup])</t>
    </r>
  </si>
  <si>
    <t>Looking up a student’s marks by entering their roll number in a marksheet.</t>
  </si>
  <si>
    <t>HLOOKUP</t>
  </si>
  <si>
    <r>
      <t xml:space="preserve">HLOOKUP (Horizontal Lookup) searches a value in the first row of a table and returns a value from another row. </t>
    </r>
    <r>
      <rPr>
        <b/>
        <sz val="11"/>
        <color theme="1"/>
        <rFont val="Trebuchet MS"/>
        <family val="2"/>
        <scheme val="minor"/>
      </rPr>
      <t>Syntax:</t>
    </r>
    <r>
      <rPr>
        <sz val="11"/>
        <color theme="1"/>
        <rFont val="Trebuchet MS"/>
        <family val="2"/>
        <scheme val="minor"/>
      </rPr>
      <t xml:space="preserve"> </t>
    </r>
    <r>
      <rPr>
        <sz val="10"/>
        <color theme="1"/>
        <rFont val="Arial Unicode MS"/>
      </rPr>
      <t>=HLOOKUP(lookup_value, table_array, row_index_num, [range_lookup])</t>
    </r>
  </si>
  <si>
    <t>Checking product price by searching product ID in the top row of a table.</t>
  </si>
  <si>
    <t>INDEX</t>
  </si>
  <si>
    <r>
      <t xml:space="preserve">INDEX returns the value of a cell from a table based on row and column numbers. </t>
    </r>
    <r>
      <rPr>
        <b/>
        <sz val="11"/>
        <color theme="1"/>
        <rFont val="Trebuchet MS"/>
        <family val="2"/>
        <scheme val="minor"/>
      </rPr>
      <t>Syntax:</t>
    </r>
    <r>
      <rPr>
        <sz val="11"/>
        <color theme="1"/>
        <rFont val="Trebuchet MS"/>
        <family val="2"/>
        <scheme val="minor"/>
      </rPr>
      <t xml:space="preserve"> </t>
    </r>
    <r>
      <rPr>
        <sz val="10"/>
        <color theme="1"/>
        <rFont val="Arial Unicode MS"/>
      </rPr>
      <t>=INDEX(array, row_num, [column_num])</t>
    </r>
  </si>
  <si>
    <t>In a seating chart, INDEX can tell who is sitting in Row 3, Column 2.</t>
  </si>
  <si>
    <t>MATCH</t>
  </si>
  <si>
    <r>
      <t xml:space="preserve">MATCH gives the position of a value in a row or column. </t>
    </r>
    <r>
      <rPr>
        <b/>
        <sz val="11"/>
        <color theme="1"/>
        <rFont val="Trebuchet MS"/>
        <family val="2"/>
        <scheme val="minor"/>
      </rPr>
      <t>Syntax:</t>
    </r>
    <r>
      <rPr>
        <sz val="11"/>
        <color theme="1"/>
        <rFont val="Trebuchet MS"/>
        <family val="2"/>
        <scheme val="minor"/>
      </rPr>
      <t xml:space="preserve"> </t>
    </r>
    <r>
      <rPr>
        <sz val="10"/>
        <color theme="1"/>
        <rFont val="Arial Unicode MS"/>
      </rPr>
      <t>=MATCH(lookup_value, lookup_array, [match_type])</t>
    </r>
  </si>
  <si>
    <t>Finding the position of “English” subject in a list of subjects.</t>
  </si>
  <si>
    <t>XLOOKUP (Latest Excel versions)</t>
  </si>
  <si>
    <r>
      <t xml:space="preserve">XLOOKUP is a modern replacement for VLOOKUP and HLOOKUP. It can search both vertically and horizontally. </t>
    </r>
    <r>
      <rPr>
        <b/>
        <sz val="11"/>
        <color theme="1"/>
        <rFont val="Trebuchet MS"/>
        <family val="2"/>
        <scheme val="minor"/>
      </rPr>
      <t>Syntax:</t>
    </r>
    <r>
      <rPr>
        <sz val="11"/>
        <color theme="1"/>
        <rFont val="Trebuchet MS"/>
        <family val="2"/>
        <scheme val="minor"/>
      </rPr>
      <t xml:space="preserve"> </t>
    </r>
    <r>
      <rPr>
        <sz val="10"/>
        <color theme="1"/>
        <rFont val="Arial Unicode MS"/>
      </rPr>
      <t>=XLOOKUP(lookup_value, lookup_array, return_array, [if_not_found], [match_mode], [search_mode])</t>
    </r>
  </si>
  <si>
    <t>Searching an employee’s name by their ID in a company database, without worrying about column order.</t>
  </si>
  <si>
    <t>Explanation (with Steps/Syntax)</t>
  </si>
  <si>
    <t>What is a Pivot Table?</t>
  </si>
  <si>
    <t>Like summarizing class marks: instead of checking each student’s marks one by one, a Pivot Table shows average marks per subject instantly.</t>
  </si>
  <si>
    <t>Rows in Pivot Table</t>
  </si>
  <si>
    <t>Rows represent the categories of data you want to group by.</t>
  </si>
  <si>
    <t>In a sales report, putting “City” in rows will list all sales cities.</t>
  </si>
  <si>
    <t>Columns in Pivot Table</t>
  </si>
  <si>
    <t>Columns break down data into subcategories for comparison.</t>
  </si>
  <si>
    <t>Adding “Product” in columns to see which product sold in which city.</t>
  </si>
  <si>
    <t>Values in Pivot Table</t>
  </si>
  <si>
    <t>Values show the actual summary data (sum, average, count, etc.).</t>
  </si>
  <si>
    <t>Filters in Pivot Table</t>
  </si>
  <si>
    <t>Filters allow you to include or exclude specific data.</t>
  </si>
  <si>
    <t>Filtering sales report by “Year = 2024” only.</t>
  </si>
  <si>
    <t>Pivot Charts</t>
  </si>
  <si>
    <t>Like making a bar chart that shows monthly expenses compared to income.</t>
  </si>
  <si>
    <r>
      <t xml:space="preserve">A Pivot Table is a tool in Excel used to summarize, analyze, and present large amounts of data quickly without formulas. </t>
    </r>
    <r>
      <rPr>
        <b/>
        <sz val="11"/>
        <color theme="1"/>
        <rFont val="Trebuchet MS"/>
        <family val="2"/>
        <scheme val="minor"/>
      </rPr>
      <t>Steps:</t>
    </r>
    <r>
      <rPr>
        <sz val="11"/>
        <color theme="1"/>
        <rFont val="Trebuchet MS"/>
        <family val="2"/>
        <scheme val="minor"/>
      </rPr>
      <t xml:space="preserve"> Select your data → Go to </t>
    </r>
    <r>
      <rPr>
        <i/>
        <sz val="11"/>
        <color theme="1"/>
        <rFont val="Trebuchet MS"/>
        <family val="2"/>
        <scheme val="minor"/>
      </rPr>
      <t>Insert</t>
    </r>
    <r>
      <rPr>
        <sz val="11"/>
        <color theme="1"/>
        <rFont val="Trebuchet MS"/>
        <family val="2"/>
        <scheme val="minor"/>
      </rPr>
      <t xml:space="preserve"> → Click </t>
    </r>
    <r>
      <rPr>
        <i/>
        <sz val="11"/>
        <color theme="1"/>
        <rFont val="Trebuchet MS"/>
        <family val="2"/>
        <scheme val="minor"/>
      </rPr>
      <t>Pivot Table</t>
    </r>
    <r>
      <rPr>
        <sz val="11"/>
        <color theme="1"/>
        <rFont val="Trebuchet MS"/>
        <family val="2"/>
        <scheme val="minor"/>
      </rPr>
      <t xml:space="preserve"> → Choose rows, columns, and values.</t>
    </r>
  </si>
  <si>
    <r>
      <t xml:space="preserve">In sales, showing the </t>
    </r>
    <r>
      <rPr>
        <b/>
        <sz val="11"/>
        <color theme="1"/>
        <rFont val="Trebuchet MS"/>
        <family val="2"/>
        <scheme val="minor"/>
      </rPr>
      <t>Total Sales</t>
    </r>
    <r>
      <rPr>
        <sz val="11"/>
        <color theme="1"/>
        <rFont val="Trebuchet MS"/>
        <family val="2"/>
        <scheme val="minor"/>
      </rPr>
      <t xml:space="preserve"> for each city.</t>
    </r>
  </si>
  <si>
    <r>
      <t xml:space="preserve">A Pivot Chart is a visual representation of a Pivot Table. It automatically updates when the Pivot Table changes. </t>
    </r>
    <r>
      <rPr>
        <b/>
        <sz val="11"/>
        <color theme="1"/>
        <rFont val="Trebuchet MS"/>
        <family val="2"/>
        <scheme val="minor"/>
      </rPr>
      <t>Steps:</t>
    </r>
    <r>
      <rPr>
        <sz val="11"/>
        <color theme="1"/>
        <rFont val="Trebuchet MS"/>
        <family val="2"/>
        <scheme val="minor"/>
      </rPr>
      <t xml:space="preserve"> Select Pivot Table → Insert → Choose chart type.</t>
    </r>
  </si>
  <si>
    <t>Name</t>
  </si>
  <si>
    <t>Department</t>
  </si>
  <si>
    <t>Marks1</t>
  </si>
  <si>
    <t>Marks2</t>
  </si>
  <si>
    <t>Total</t>
  </si>
  <si>
    <t>Average</t>
  </si>
  <si>
    <t>1. Logical Functions</t>
  </si>
  <si>
    <t>Raj</t>
  </si>
  <si>
    <t>IT</t>
  </si>
  <si>
    <t>Pooja</t>
  </si>
  <si>
    <r>
      <t>IF Function</t>
    </r>
    <r>
      <rPr>
        <sz val="11"/>
        <color theme="1"/>
        <rFont val="Trebuchet MS"/>
        <family val="2"/>
        <scheme val="minor"/>
      </rPr>
      <t xml:space="preserve"> (Basic conditions)</t>
    </r>
  </si>
  <si>
    <t>Priya</t>
  </si>
  <si>
    <t>Sales</t>
  </si>
  <si>
    <t>👉 Example: Marks ke basis pe "Pass" ya "Fail" dikhana</t>
  </si>
  <si>
    <t>Karan</t>
  </si>
  <si>
    <t>HR</t>
  </si>
  <si>
    <t>=IF(A2&gt;=40, "Pass", "Fail")</t>
  </si>
  <si>
    <t>Marketing</t>
  </si>
  <si>
    <t>Divya</t>
  </si>
  <si>
    <t>Neha</t>
  </si>
  <si>
    <t>👉 Example: Grade system</t>
  </si>
  <si>
    <t>=IF(A2&gt;=90,"A",IF(A2&gt;=75,"B",IF(A2&gt;=60,"C","Fail")))</t>
  </si>
  <si>
    <t>AND / OR Functions</t>
  </si>
  <si>
    <t>👉 Example: Multiple conditions check karna</t>
  </si>
  <si>
    <t>=IF(AND(A2&gt;=60,B2&gt;=60),"Eligible","Not Eligible")</t>
  </si>
  <si>
    <t>Simran</t>
  </si>
  <si>
    <t>Ravi</t>
  </si>
  <si>
    <t>Amit</t>
  </si>
  <si>
    <t>Alok</t>
  </si>
  <si>
    <t>Hindi</t>
  </si>
  <si>
    <t xml:space="preserve">English </t>
  </si>
  <si>
    <t>Result</t>
  </si>
  <si>
    <t>pass</t>
  </si>
  <si>
    <t>fail</t>
  </si>
  <si>
    <t>Ans As</t>
  </si>
  <si>
    <t xml:space="preserve">Formula </t>
  </si>
  <si>
    <t>True, false</t>
  </si>
  <si>
    <t>1,0</t>
  </si>
  <si>
    <t>Pass, Fail</t>
  </si>
  <si>
    <t>PASS, FAIL</t>
  </si>
  <si>
    <t>YES,NO</t>
  </si>
  <si>
    <t>F2+E2,0</t>
  </si>
  <si>
    <t>Today(),Today()+10</t>
  </si>
  <si>
    <t>Employee_ID</t>
  </si>
  <si>
    <t>Employee_Name</t>
  </si>
  <si>
    <t>Region</t>
  </si>
  <si>
    <t>Manager</t>
  </si>
  <si>
    <t>Product</t>
  </si>
  <si>
    <t>Target</t>
  </si>
  <si>
    <t>E1000</t>
  </si>
  <si>
    <t>Employee_1</t>
  </si>
  <si>
    <t>West</t>
  </si>
  <si>
    <t>Manager_B</t>
  </si>
  <si>
    <t>Tablet</t>
  </si>
  <si>
    <t>E1001</t>
  </si>
  <si>
    <t>Employee_2</t>
  </si>
  <si>
    <t>East</t>
  </si>
  <si>
    <t>Manager_C</t>
  </si>
  <si>
    <t>Mobile</t>
  </si>
  <si>
    <t>E1002</t>
  </si>
  <si>
    <t>Employee_3</t>
  </si>
  <si>
    <t>E1003</t>
  </si>
  <si>
    <t>Employee_4</t>
  </si>
  <si>
    <t>Manager_D</t>
  </si>
  <si>
    <t>E1004</t>
  </si>
  <si>
    <t>Employee_5</t>
  </si>
  <si>
    <t>North</t>
  </si>
  <si>
    <t>Manager_A</t>
  </si>
  <si>
    <t>E1005</t>
  </si>
  <si>
    <t>Employee_6</t>
  </si>
  <si>
    <t>South</t>
  </si>
  <si>
    <t>E1006</t>
  </si>
  <si>
    <t>Employee_7</t>
  </si>
  <si>
    <t>E1007</t>
  </si>
  <si>
    <t>Employee_8</t>
  </si>
  <si>
    <t>E1008</t>
  </si>
  <si>
    <t>Employee_9</t>
  </si>
  <si>
    <t>Finance</t>
  </si>
  <si>
    <t>Laptop</t>
  </si>
  <si>
    <t>E1009</t>
  </si>
  <si>
    <t>Employee_10</t>
  </si>
  <si>
    <t>Printer</t>
  </si>
  <si>
    <t>E1010</t>
  </si>
  <si>
    <t>Employee_11</t>
  </si>
  <si>
    <t>E1011</t>
  </si>
  <si>
    <t>Employee_12</t>
  </si>
  <si>
    <t>E1012</t>
  </si>
  <si>
    <t>Employee_13</t>
  </si>
  <si>
    <t>E1013</t>
  </si>
  <si>
    <t>Employee_14</t>
  </si>
  <si>
    <t>E1014</t>
  </si>
  <si>
    <t>Employee_15</t>
  </si>
  <si>
    <t>E1015</t>
  </si>
  <si>
    <t>Employee_16</t>
  </si>
  <si>
    <t>E1016</t>
  </si>
  <si>
    <t>Employee_17</t>
  </si>
  <si>
    <t>E1017</t>
  </si>
  <si>
    <t>Employee_18</t>
  </si>
  <si>
    <t>E1018</t>
  </si>
  <si>
    <t>Employee_19</t>
  </si>
  <si>
    <t>E1019</t>
  </si>
  <si>
    <t>Employee_20</t>
  </si>
  <si>
    <t>E1020</t>
  </si>
  <si>
    <t>Employee_21</t>
  </si>
  <si>
    <t>E1021</t>
  </si>
  <si>
    <t>Employee_22</t>
  </si>
  <si>
    <t>E1022</t>
  </si>
  <si>
    <t>Employee_23</t>
  </si>
  <si>
    <t>E1023</t>
  </si>
  <si>
    <t>Employee_24</t>
  </si>
  <si>
    <t>E1024</t>
  </si>
  <si>
    <t>Employee_25</t>
  </si>
  <si>
    <t>E1025</t>
  </si>
  <si>
    <t>Employee_26</t>
  </si>
  <si>
    <t>E1026</t>
  </si>
  <si>
    <t>Employee_27</t>
  </si>
  <si>
    <t>E1027</t>
  </si>
  <si>
    <t>Employee_28</t>
  </si>
  <si>
    <t>E1028</t>
  </si>
  <si>
    <t>Employee_29</t>
  </si>
  <si>
    <t>E1029</t>
  </si>
  <si>
    <t>Employee_30</t>
  </si>
  <si>
    <t>E1030</t>
  </si>
  <si>
    <t>Employee_31</t>
  </si>
  <si>
    <t>E1031</t>
  </si>
  <si>
    <t>Employee_32</t>
  </si>
  <si>
    <t>E1032</t>
  </si>
  <si>
    <t>Employee_33</t>
  </si>
  <si>
    <t>E1033</t>
  </si>
  <si>
    <t>Employee_34</t>
  </si>
  <si>
    <t>E1034</t>
  </si>
  <si>
    <t>Employee_35</t>
  </si>
  <si>
    <t>E1035</t>
  </si>
  <si>
    <t>Employee_36</t>
  </si>
  <si>
    <t>E1036</t>
  </si>
  <si>
    <t>Employee_37</t>
  </si>
  <si>
    <t>E1037</t>
  </si>
  <si>
    <t>Employee_38</t>
  </si>
  <si>
    <t>E1038</t>
  </si>
  <si>
    <t>Employee_39</t>
  </si>
  <si>
    <t>E1039</t>
  </si>
  <si>
    <t>Employee_40</t>
  </si>
  <si>
    <t>E1040</t>
  </si>
  <si>
    <t>Employee_41</t>
  </si>
  <si>
    <t>E1041</t>
  </si>
  <si>
    <t>Employee_42</t>
  </si>
  <si>
    <t>E1042</t>
  </si>
  <si>
    <t>Employee_43</t>
  </si>
  <si>
    <t>E1043</t>
  </si>
  <si>
    <t>Employee_44</t>
  </si>
  <si>
    <t>E1044</t>
  </si>
  <si>
    <t>Employee_45</t>
  </si>
  <si>
    <t>E1045</t>
  </si>
  <si>
    <t>Employee_46</t>
  </si>
  <si>
    <t>E1046</t>
  </si>
  <si>
    <t>Employee_47</t>
  </si>
  <si>
    <t>E1047</t>
  </si>
  <si>
    <t>Employee_48</t>
  </si>
  <si>
    <t>E1048</t>
  </si>
  <si>
    <t>Employee_49</t>
  </si>
  <si>
    <t>E1049</t>
  </si>
  <si>
    <t>Employee_50</t>
  </si>
  <si>
    <t>E1050</t>
  </si>
  <si>
    <t>Employee_51</t>
  </si>
  <si>
    <t>E1051</t>
  </si>
  <si>
    <t>Employee_52</t>
  </si>
  <si>
    <t>E1052</t>
  </si>
  <si>
    <t>Employee_53</t>
  </si>
  <si>
    <t>E1053</t>
  </si>
  <si>
    <t>Employee_54</t>
  </si>
  <si>
    <t>E1054</t>
  </si>
  <si>
    <t>Employee_55</t>
  </si>
  <si>
    <t>E1055</t>
  </si>
  <si>
    <t>Employee_56</t>
  </si>
  <si>
    <t>E1056</t>
  </si>
  <si>
    <t>Employee_57</t>
  </si>
  <si>
    <t>E1057</t>
  </si>
  <si>
    <t>Employee_58</t>
  </si>
  <si>
    <t>E1058</t>
  </si>
  <si>
    <t>Employee_59</t>
  </si>
  <si>
    <t>E1059</t>
  </si>
  <si>
    <t>Employee_60</t>
  </si>
  <si>
    <t>E1060</t>
  </si>
  <si>
    <t>Employee_61</t>
  </si>
  <si>
    <t>E1061</t>
  </si>
  <si>
    <t>Employee_62</t>
  </si>
  <si>
    <t>E1062</t>
  </si>
  <si>
    <t>Employee_63</t>
  </si>
  <si>
    <t>E1063</t>
  </si>
  <si>
    <t>Employee_64</t>
  </si>
  <si>
    <t>E1064</t>
  </si>
  <si>
    <t>Employee_65</t>
  </si>
  <si>
    <t>E1065</t>
  </si>
  <si>
    <t>Employee_66</t>
  </si>
  <si>
    <t>E1066</t>
  </si>
  <si>
    <t>Employee_67</t>
  </si>
  <si>
    <t>E1067</t>
  </si>
  <si>
    <t>Employee_68</t>
  </si>
  <si>
    <t>E1068</t>
  </si>
  <si>
    <t>Employee_69</t>
  </si>
  <si>
    <t>E1069</t>
  </si>
  <si>
    <t>Employee_70</t>
  </si>
  <si>
    <t>E1070</t>
  </si>
  <si>
    <t>Employee_71</t>
  </si>
  <si>
    <t>E1071</t>
  </si>
  <si>
    <t>Employee_72</t>
  </si>
  <si>
    <t>E1072</t>
  </si>
  <si>
    <t>Employee_73</t>
  </si>
  <si>
    <t>E1073</t>
  </si>
  <si>
    <t>Employee_74</t>
  </si>
  <si>
    <t>E1074</t>
  </si>
  <si>
    <t>Employee_75</t>
  </si>
  <si>
    <t>E1075</t>
  </si>
  <si>
    <t>Employee_76</t>
  </si>
  <si>
    <t>E1076</t>
  </si>
  <si>
    <t>Employee_77</t>
  </si>
  <si>
    <t>E1077</t>
  </si>
  <si>
    <t>Employee_78</t>
  </si>
  <si>
    <t>E1078</t>
  </si>
  <si>
    <t>Employee_79</t>
  </si>
  <si>
    <t>E1079</t>
  </si>
  <si>
    <t>Employee_80</t>
  </si>
  <si>
    <t>E1080</t>
  </si>
  <si>
    <t>Employee_81</t>
  </si>
  <si>
    <t>E1081</t>
  </si>
  <si>
    <t>Employee_82</t>
  </si>
  <si>
    <t>E1082</t>
  </si>
  <si>
    <t>Employee_83</t>
  </si>
  <si>
    <t>E1083</t>
  </si>
  <si>
    <t>Employee_84</t>
  </si>
  <si>
    <t>E1084</t>
  </si>
  <si>
    <t>Employee_85</t>
  </si>
  <si>
    <t>E1085</t>
  </si>
  <si>
    <t>Employee_86</t>
  </si>
  <si>
    <t>E1086</t>
  </si>
  <si>
    <t>Employee_87</t>
  </si>
  <si>
    <t>E1087</t>
  </si>
  <si>
    <t>Employee_88</t>
  </si>
  <si>
    <t>E1088</t>
  </si>
  <si>
    <t>Employee_89</t>
  </si>
  <si>
    <t>E1089</t>
  </si>
  <si>
    <t>Employee_90</t>
  </si>
  <si>
    <t>E1090</t>
  </si>
  <si>
    <t>Employee_91</t>
  </si>
  <si>
    <t>E1091</t>
  </si>
  <si>
    <t>Employee_92</t>
  </si>
  <si>
    <t>E1092</t>
  </si>
  <si>
    <t>Employee_93</t>
  </si>
  <si>
    <t>E1093</t>
  </si>
  <si>
    <t>Employee_94</t>
  </si>
  <si>
    <t>E1094</t>
  </si>
  <si>
    <t>Employee_95</t>
  </si>
  <si>
    <t>E1095</t>
  </si>
  <si>
    <t>Employee_96</t>
  </si>
  <si>
    <t>E1096</t>
  </si>
  <si>
    <t>Employee_97</t>
  </si>
  <si>
    <t>E1097</t>
  </si>
  <si>
    <t>Employee_98</t>
  </si>
  <si>
    <t>E1098</t>
  </si>
  <si>
    <t>Employee_99</t>
  </si>
  <si>
    <t>E1099</t>
  </si>
  <si>
    <t>Employee_100</t>
  </si>
  <si>
    <t>E1100</t>
  </si>
  <si>
    <t>Employee_101</t>
  </si>
  <si>
    <t>E1101</t>
  </si>
  <si>
    <t>Employee_102</t>
  </si>
  <si>
    <t>E1102</t>
  </si>
  <si>
    <t>Employee_103</t>
  </si>
  <si>
    <t>E1103</t>
  </si>
  <si>
    <t>Employee_104</t>
  </si>
  <si>
    <t>E1104</t>
  </si>
  <si>
    <t>Employee_105</t>
  </si>
  <si>
    <t>E1105</t>
  </si>
  <si>
    <t>Employee_106</t>
  </si>
  <si>
    <t>E1106</t>
  </si>
  <si>
    <t>Employee_107</t>
  </si>
  <si>
    <t>E1107</t>
  </si>
  <si>
    <t>Employee_108</t>
  </si>
  <si>
    <t>E1108</t>
  </si>
  <si>
    <t>Employee_109</t>
  </si>
  <si>
    <t>E1109</t>
  </si>
  <si>
    <t>Employee_110</t>
  </si>
  <si>
    <t>E1110</t>
  </si>
  <si>
    <t>Employee_111</t>
  </si>
  <si>
    <t>E1111</t>
  </si>
  <si>
    <t>Employee_112</t>
  </si>
  <si>
    <t>E1112</t>
  </si>
  <si>
    <t>Employee_113</t>
  </si>
  <si>
    <t>E1113</t>
  </si>
  <si>
    <t>Employee_114</t>
  </si>
  <si>
    <t>E1114</t>
  </si>
  <si>
    <t>Employee_115</t>
  </si>
  <si>
    <t>E1115</t>
  </si>
  <si>
    <t>Employee_116</t>
  </si>
  <si>
    <t>E1116</t>
  </si>
  <si>
    <t>Employee_117</t>
  </si>
  <si>
    <t>E1117</t>
  </si>
  <si>
    <t>Employee_118</t>
  </si>
  <si>
    <t>E1118</t>
  </si>
  <si>
    <t>Employee_119</t>
  </si>
  <si>
    <t>E1119</t>
  </si>
  <si>
    <t>Employee_120</t>
  </si>
  <si>
    <t>Pivot Table Case Study Questions</t>
  </si>
  <si>
    <t>1. Create a Pivot Table to show Total Sales by Region.</t>
  </si>
  <si>
    <t>2. Which Region has the highest total sales?</t>
  </si>
  <si>
    <t>3. Create a Pivot Table to summarize Sales by Product.</t>
  </si>
  <si>
    <t>4. Which Product generated the maximum revenue?</t>
  </si>
  <si>
    <t>5. Create a Pivot Table to show Sales by Department.</t>
  </si>
  <si>
    <t>6. Which Department contributed the least sales?</t>
  </si>
  <si>
    <t>7. Show Sales by Manager in a Pivot Table.</t>
  </si>
  <si>
    <t>8. Which Manager's team achieved the highest sales?</t>
  </si>
  <si>
    <t>9. Add a Pivot Table with Employee_Name as Rows and Sum of Sales as Values.</t>
  </si>
  <si>
    <t>10. Who is the Top Performing Employee in terms of sales?</t>
  </si>
  <si>
    <t>11. Insert a Calculated Field: Achievement % = (Sales/Target)*100.</t>
  </si>
  <si>
    <t>12. Show Target Achievement % by Region.</t>
  </si>
  <si>
    <t>13. Create a Pivot Table showing Sales by Region and Product together.</t>
  </si>
  <si>
    <t>14. Which Product performed best in the North Region?</t>
  </si>
  <si>
    <t>15. Insert a Pivot Table with Department and Manager to compare sales.</t>
  </si>
  <si>
    <t>16. Which Department-Manager combination is performing best?</t>
  </si>
  <si>
    <t>17. Use Pivot Table filtering to show only Employees with Sales above 40,000.</t>
  </si>
  <si>
    <t>18. Find the Bottom 5 Employees in Sales using Pivot Table Sorting.</t>
  </si>
  <si>
    <t>19. Insert Slicers for Region and Department to make the Pivot Table interactive.</t>
  </si>
  <si>
    <t>20. Prepare a short conclusion: Which Region, Product, and Manager should the company reward based on sales performance?</t>
  </si>
  <si>
    <t>20 IF Function Questions (Case Study)</t>
  </si>
  <si>
    <r>
      <t xml:space="preserve">1. Write a formula to check if an employee has </t>
    </r>
    <r>
      <rPr>
        <b/>
        <sz val="11"/>
        <color theme="1"/>
        <rFont val="Trebuchet MS"/>
        <family val="2"/>
        <scheme val="minor"/>
      </rPr>
      <t>achieved the target</t>
    </r>
    <r>
      <rPr>
        <sz val="11"/>
        <color theme="1"/>
        <rFont val="Trebuchet MS"/>
        <family val="2"/>
        <scheme val="minor"/>
      </rPr>
      <t xml:space="preserve"> (Sales ≥ Target).</t>
    </r>
  </si>
  <si>
    <r>
      <t xml:space="preserve">2. Mark employees as </t>
    </r>
    <r>
      <rPr>
        <b/>
        <sz val="11"/>
        <color theme="1"/>
        <rFont val="Trebuchet MS"/>
        <family val="2"/>
        <scheme val="minor"/>
      </rPr>
      <t>“Bonus Eligible”</t>
    </r>
    <r>
      <rPr>
        <sz val="11"/>
        <color theme="1"/>
        <rFont val="Trebuchet MS"/>
        <family val="2"/>
        <scheme val="minor"/>
      </rPr>
      <t xml:space="preserve"> if Sales &gt; 40,000, otherwise </t>
    </r>
    <r>
      <rPr>
        <b/>
        <sz val="11"/>
        <color theme="1"/>
        <rFont val="Trebuchet MS"/>
        <family val="2"/>
        <scheme val="minor"/>
      </rPr>
      <t>“No Bonus”</t>
    </r>
    <r>
      <rPr>
        <sz val="11"/>
        <color theme="1"/>
        <rFont val="Trebuchet MS"/>
        <family val="2"/>
        <scheme val="minor"/>
      </rPr>
      <t>.</t>
    </r>
  </si>
  <si>
    <r>
      <t xml:space="preserve">3. Check if employee Attendance ≥ 90, then mark </t>
    </r>
    <r>
      <rPr>
        <b/>
        <sz val="11"/>
        <color theme="1"/>
        <rFont val="Trebuchet MS"/>
        <family val="2"/>
        <scheme val="minor"/>
      </rPr>
      <t>“Excellent”</t>
    </r>
    <r>
      <rPr>
        <sz val="11"/>
        <color theme="1"/>
        <rFont val="Trebuchet MS"/>
        <family val="2"/>
        <scheme val="minor"/>
      </rPr>
      <t xml:space="preserve">, else </t>
    </r>
    <r>
      <rPr>
        <b/>
        <sz val="11"/>
        <color theme="1"/>
        <rFont val="Trebuchet MS"/>
        <family val="2"/>
        <scheme val="minor"/>
      </rPr>
      <t>“Needs Improvement”</t>
    </r>
    <r>
      <rPr>
        <sz val="11"/>
        <color theme="1"/>
        <rFont val="Trebuchet MS"/>
        <family val="2"/>
        <scheme val="minor"/>
      </rPr>
      <t>.</t>
    </r>
  </si>
  <si>
    <r>
      <t xml:space="preserve">4. Categorize employees as </t>
    </r>
    <r>
      <rPr>
        <b/>
        <sz val="11"/>
        <color theme="1"/>
        <rFont val="Trebuchet MS"/>
        <family val="2"/>
        <scheme val="minor"/>
      </rPr>
      <t>“Young”</t>
    </r>
    <r>
      <rPr>
        <sz val="11"/>
        <color theme="1"/>
        <rFont val="Trebuchet MS"/>
        <family val="2"/>
        <scheme val="minor"/>
      </rPr>
      <t xml:space="preserve"> if Age &lt; 30, otherwise </t>
    </r>
    <r>
      <rPr>
        <b/>
        <sz val="11"/>
        <color theme="1"/>
        <rFont val="Trebuchet MS"/>
        <family val="2"/>
        <scheme val="minor"/>
      </rPr>
      <t>“Experienced”</t>
    </r>
    <r>
      <rPr>
        <sz val="11"/>
        <color theme="1"/>
        <rFont val="Trebuchet MS"/>
        <family val="2"/>
        <scheme val="minor"/>
      </rPr>
      <t>.</t>
    </r>
  </si>
  <si>
    <r>
      <t xml:space="preserve">5. Create a </t>
    </r>
    <r>
      <rPr>
        <b/>
        <sz val="11"/>
        <color theme="1"/>
        <rFont val="Trebuchet MS"/>
        <family val="2"/>
        <scheme val="minor"/>
      </rPr>
      <t>grading system</t>
    </r>
    <r>
      <rPr>
        <sz val="11"/>
        <color theme="1"/>
        <rFont val="Trebuchet MS"/>
        <family val="2"/>
        <scheme val="minor"/>
      </rPr>
      <t>: Sales ≥ 45,000 → Outstanding, Sales ≥ 30,000 → Good, otherwise Average.</t>
    </r>
  </si>
  <si>
    <r>
      <t xml:space="preserve">6. Convert Gender column from </t>
    </r>
    <r>
      <rPr>
        <b/>
        <sz val="11"/>
        <color theme="1"/>
        <rFont val="Trebuchet MS"/>
        <family val="2"/>
        <scheme val="minor"/>
      </rPr>
      <t>M/F to Male/Female</t>
    </r>
    <r>
      <rPr>
        <sz val="11"/>
        <color theme="1"/>
        <rFont val="Trebuchet MS"/>
        <family val="2"/>
        <scheme val="minor"/>
      </rPr>
      <t>.</t>
    </r>
  </si>
  <si>
    <t>7. If Region = “North”, allowance is 5,000, otherwise 3,000.</t>
  </si>
  <si>
    <r>
      <t xml:space="preserve">8. Mark employees as </t>
    </r>
    <r>
      <rPr>
        <b/>
        <sz val="11"/>
        <color theme="1"/>
        <rFont val="Trebuchet MS"/>
        <family val="2"/>
        <scheme val="minor"/>
      </rPr>
      <t>“Incentive Eligible”</t>
    </r>
    <r>
      <rPr>
        <sz val="11"/>
        <color theme="1"/>
        <rFont val="Trebuchet MS"/>
        <family val="2"/>
        <scheme val="minor"/>
      </rPr>
      <t xml:space="preserve"> only if Department = “Sales”.</t>
    </r>
  </si>
  <si>
    <r>
      <t xml:space="preserve">9. If Experience ≥ 10 years, give </t>
    </r>
    <r>
      <rPr>
        <b/>
        <sz val="11"/>
        <color theme="1"/>
        <rFont val="Trebuchet MS"/>
        <family val="2"/>
        <scheme val="minor"/>
      </rPr>
      <t>“Extra Bonus”</t>
    </r>
    <r>
      <rPr>
        <sz val="11"/>
        <color theme="1"/>
        <rFont val="Trebuchet MS"/>
        <family val="2"/>
        <scheme val="minor"/>
      </rPr>
      <t xml:space="preserve">, otherwise </t>
    </r>
    <r>
      <rPr>
        <b/>
        <sz val="11"/>
        <color theme="1"/>
        <rFont val="Trebuchet MS"/>
        <family val="2"/>
        <scheme val="minor"/>
      </rPr>
      <t>“Normal Bonus”</t>
    </r>
    <r>
      <rPr>
        <sz val="11"/>
        <color theme="1"/>
        <rFont val="Trebuchet MS"/>
        <family val="2"/>
        <scheme val="minor"/>
      </rPr>
      <t>.</t>
    </r>
  </si>
  <si>
    <r>
      <t xml:space="preserve">10. If Sales ≥ 40,000 AND Attendance ≥ 95 → </t>
    </r>
    <r>
      <rPr>
        <b/>
        <sz val="11"/>
        <color theme="1"/>
        <rFont val="Trebuchet MS"/>
        <family val="2"/>
        <scheme val="minor"/>
      </rPr>
      <t>“Promotion Eligible”</t>
    </r>
    <r>
      <rPr>
        <sz val="11"/>
        <color theme="1"/>
        <rFont val="Trebuchet MS"/>
        <family val="2"/>
        <scheme val="minor"/>
      </rPr>
      <t xml:space="preserve">, else </t>
    </r>
    <r>
      <rPr>
        <b/>
        <sz val="11"/>
        <color theme="1"/>
        <rFont val="Trebuchet MS"/>
        <family val="2"/>
        <scheme val="minor"/>
      </rPr>
      <t>“Not Eligible”</t>
    </r>
    <r>
      <rPr>
        <sz val="11"/>
        <color theme="1"/>
        <rFont val="Trebuchet MS"/>
        <family val="2"/>
        <scheme val="minor"/>
      </rPr>
      <t>.</t>
    </r>
  </si>
  <si>
    <t>Attendance%</t>
  </si>
  <si>
    <t>Experience_Years</t>
  </si>
  <si>
    <t>Age</t>
  </si>
  <si>
    <t>Gender</t>
  </si>
  <si>
    <t>E2001</t>
  </si>
  <si>
    <t>Emp_1</t>
  </si>
  <si>
    <t>M</t>
  </si>
  <si>
    <t>E2002</t>
  </si>
  <si>
    <t>Emp_2</t>
  </si>
  <si>
    <t>F</t>
  </si>
  <si>
    <t>E2003</t>
  </si>
  <si>
    <t>Emp_3</t>
  </si>
  <si>
    <t>E2004</t>
  </si>
  <si>
    <t>Emp_4</t>
  </si>
  <si>
    <t>E2005</t>
  </si>
  <si>
    <t>Emp_5</t>
  </si>
  <si>
    <t>E2006</t>
  </si>
  <si>
    <t>E2007</t>
  </si>
  <si>
    <t>E2008</t>
  </si>
  <si>
    <t>E2009</t>
  </si>
  <si>
    <t>E2010</t>
  </si>
  <si>
    <t>E2011</t>
  </si>
  <si>
    <t>E2012</t>
  </si>
  <si>
    <t>E2013</t>
  </si>
  <si>
    <t>E2014</t>
  </si>
  <si>
    <t>E2015</t>
  </si>
  <si>
    <t>E2016</t>
  </si>
  <si>
    <t>E2017</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</si>
  <si>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</si>
  <si>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</si>
  <si>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</si>
  <si>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</si>
  <si>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</si>
  <si>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</si>
  <si>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</si>
  <si>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</si>
  <si>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</si>
  <si>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</si>
  <si>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</si>
  <si>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</si>
  <si>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</si>
  <si>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</si>
  <si>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</si>
  <si>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</si>
  <si>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</si>
  <si>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</si>
  <si>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</si>
  <si>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</si>
  <si>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</si>
  <si>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</si>
  <si>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</si>
  <si>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</si>
  <si>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</si>
  <si>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</si>
  <si>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</si>
  <si>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</si>
  <si>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</si>
  <si>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</si>
  <si>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</si>
  <si>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</si>
  <si>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</si>
  <si>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Emp_6</t>
  </si>
  <si>
    <t>Emp_7</t>
  </si>
  <si>
    <t>Emp_8</t>
  </si>
  <si>
    <t>Emp_9</t>
  </si>
  <si>
    <t>Emp_10</t>
  </si>
  <si>
    <t>Emp_11</t>
  </si>
  <si>
    <t>Emp_12</t>
  </si>
  <si>
    <t>Emp_13</t>
  </si>
  <si>
    <t>Emp_14</t>
  </si>
  <si>
    <t>Emp_15</t>
  </si>
  <si>
    <t>Emp_16</t>
  </si>
  <si>
    <t>Emp_17</t>
  </si>
  <si>
    <t>Emp_18</t>
  </si>
  <si>
    <t>Emp_19</t>
  </si>
  <si>
    <t>Emp_20</t>
  </si>
  <si>
    <t>Emp_21</t>
  </si>
  <si>
    <t>Emp_22</t>
  </si>
  <si>
    <t>Emp_23</t>
  </si>
  <si>
    <t>Emp_24</t>
  </si>
  <si>
    <t>Emp_25</t>
  </si>
  <si>
    <t>Emp_26</t>
  </si>
  <si>
    <t>Emp_27</t>
  </si>
  <si>
    <t>Emp_28</t>
  </si>
  <si>
    <t>Emp_29</t>
  </si>
  <si>
    <t>Emp_30</t>
  </si>
  <si>
    <t>Emp_31</t>
  </si>
  <si>
    <t>Emp_32</t>
  </si>
  <si>
    <t>Emp_33</t>
  </si>
  <si>
    <t>Emp_34</t>
  </si>
  <si>
    <t>Emp_35</t>
  </si>
  <si>
    <t>Emp_36</t>
  </si>
  <si>
    <t>Emp_37</t>
  </si>
  <si>
    <t>Emp_38</t>
  </si>
  <si>
    <t>Emp_39</t>
  </si>
  <si>
    <t>Emp_40</t>
  </si>
  <si>
    <t>Emp_41</t>
  </si>
  <si>
    <t>Emp_42</t>
  </si>
  <si>
    <t>Emp_43</t>
  </si>
  <si>
    <t>Emp_44</t>
  </si>
  <si>
    <t>Emp_45</t>
  </si>
  <si>
    <t>Emp_46</t>
  </si>
  <si>
    <t>Emp_47</t>
  </si>
  <si>
    <t>Emp_48</t>
  </si>
  <si>
    <t>Emp_49</t>
  </si>
  <si>
    <t>Emp_50</t>
  </si>
  <si>
    <t>📝 20 IF Questions with Answers</t>
  </si>
  <si>
    <t>1. Check if Sales ≥ Target</t>
  </si>
  <si>
    <r>
      <t>Formula:</t>
    </r>
    <r>
      <rPr>
        <sz val="11"/>
        <color theme="1"/>
        <rFont val="Trebuchet MS"/>
        <family val="2"/>
        <scheme val="minor"/>
      </rPr>
      <t xml:space="preserve"> </t>
    </r>
    <r>
      <rPr>
        <sz val="10"/>
        <color theme="1"/>
        <rFont val="Arial Unicode MS"/>
      </rPr>
      <t>=IF(E2&gt;=F2,"Achieved","Not Achieved")</t>
    </r>
  </si>
  <si>
    <t>2. Sales &gt; 40,000 → Bonus Eligible</t>
  </si>
  <si>
    <r>
      <t>Formula:</t>
    </r>
    <r>
      <rPr>
        <sz val="11"/>
        <color theme="1"/>
        <rFont val="Trebuchet MS"/>
        <family val="2"/>
        <scheme val="minor"/>
      </rPr>
      <t xml:space="preserve"> </t>
    </r>
    <r>
      <rPr>
        <sz val="10"/>
        <color theme="1"/>
        <rFont val="Arial Unicode MS"/>
      </rPr>
      <t>=IF(E2&gt;40000,"Bonus Eligible","No Bonus")</t>
    </r>
  </si>
  <si>
    <t>3. Attendance ≥ 90 → Excellent</t>
  </si>
  <si>
    <r>
      <t>Formula:</t>
    </r>
    <r>
      <rPr>
        <sz val="11"/>
        <color theme="1"/>
        <rFont val="Trebuchet MS"/>
        <family val="2"/>
        <scheme val="minor"/>
      </rPr>
      <t xml:space="preserve"> </t>
    </r>
    <r>
      <rPr>
        <sz val="10"/>
        <color theme="1"/>
        <rFont val="Arial Unicode MS"/>
      </rPr>
      <t>=IF(G2&gt;=90,"Excellent","Needs Improvement")</t>
    </r>
  </si>
  <si>
    <t>4. Age &lt; 30 → Young</t>
  </si>
  <si>
    <r>
      <t>Formula:</t>
    </r>
    <r>
      <rPr>
        <sz val="11"/>
        <color theme="1"/>
        <rFont val="Trebuchet MS"/>
        <family val="2"/>
        <scheme val="minor"/>
      </rPr>
      <t xml:space="preserve"> </t>
    </r>
    <r>
      <rPr>
        <sz val="10"/>
        <color theme="1"/>
        <rFont val="Arial Unicode MS"/>
      </rPr>
      <t>=IF(I2&lt;30,"Young","Experienced")</t>
    </r>
  </si>
  <si>
    <t>5. Sales Performance Grading</t>
  </si>
  <si>
    <r>
      <t>Formula:</t>
    </r>
    <r>
      <rPr>
        <sz val="11"/>
        <color theme="1"/>
        <rFont val="Trebuchet MS"/>
        <family val="2"/>
        <scheme val="minor"/>
      </rPr>
      <t xml:space="preserve"> </t>
    </r>
    <r>
      <rPr>
        <sz val="10"/>
        <color theme="1"/>
        <rFont val="Arial Unicode MS"/>
      </rPr>
      <t>=IF(E2&gt;=45000,"Outstanding",IF(E2&gt;=30000,"Good","Average"))</t>
    </r>
  </si>
  <si>
    <t>6. Gender Full Form</t>
  </si>
  <si>
    <r>
      <t>Formula:</t>
    </r>
    <r>
      <rPr>
        <sz val="11"/>
        <color theme="1"/>
        <rFont val="Trebuchet MS"/>
        <family val="2"/>
        <scheme val="minor"/>
      </rPr>
      <t xml:space="preserve"> </t>
    </r>
    <r>
      <rPr>
        <sz val="10"/>
        <color theme="1"/>
        <rFont val="Arial Unicode MS"/>
      </rPr>
      <t>=IF(J2="M","Male","Female")</t>
    </r>
  </si>
  <si>
    <t>7. Allowance Based on Region</t>
  </si>
  <si>
    <r>
      <t>Formula:</t>
    </r>
    <r>
      <rPr>
        <sz val="11"/>
        <color theme="1"/>
        <rFont val="Trebuchet MS"/>
        <family val="2"/>
        <scheme val="minor"/>
      </rPr>
      <t xml:space="preserve"> </t>
    </r>
    <r>
      <rPr>
        <sz val="10"/>
        <color theme="1"/>
        <rFont val="Arial Unicode MS"/>
      </rPr>
      <t>=IF(D2="North",5000,3000)</t>
    </r>
  </si>
  <si>
    <t>8. Incentive Eligibility</t>
  </si>
  <si>
    <r>
      <t>Formula:</t>
    </r>
    <r>
      <rPr>
        <sz val="11"/>
        <color theme="1"/>
        <rFont val="Trebuchet MS"/>
        <family val="2"/>
        <scheme val="minor"/>
      </rPr>
      <t xml:space="preserve"> </t>
    </r>
    <r>
      <rPr>
        <sz val="10"/>
        <color theme="1"/>
        <rFont val="Arial Unicode MS"/>
      </rPr>
      <t>=IF(C2="Sales","Incentive Eligible","Not Eligible")</t>
    </r>
  </si>
  <si>
    <t>9. Bonus by Experience</t>
  </si>
  <si>
    <r>
      <t>Formula:</t>
    </r>
    <r>
      <rPr>
        <sz val="11"/>
        <color theme="1"/>
        <rFont val="Trebuchet MS"/>
        <family val="2"/>
        <scheme val="minor"/>
      </rPr>
      <t xml:space="preserve"> </t>
    </r>
    <r>
      <rPr>
        <sz val="10"/>
        <color theme="1"/>
        <rFont val="Arial Unicode MS"/>
      </rPr>
      <t>=IF(H2&gt;=10,"Extra Bonus","Normal Bonus")</t>
    </r>
  </si>
  <si>
    <t>10. Promotion Eligibility</t>
  </si>
  <si>
    <r>
      <t>Formula:</t>
    </r>
    <r>
      <rPr>
        <sz val="11"/>
        <color theme="1"/>
        <rFont val="Trebuchet MS"/>
        <family val="2"/>
        <scheme val="minor"/>
      </rPr>
      <t xml:space="preserve"> </t>
    </r>
    <r>
      <rPr>
        <sz val="10"/>
        <color theme="1"/>
        <rFont val="Arial Unicode MS"/>
      </rPr>
      <t>=IF(AND(E2&gt;=40000,G2&gt;=95),"Promotion Eligible","Not Eligible")</t>
    </r>
  </si>
  <si>
    <t>11. Warning for Low Performance</t>
  </si>
  <si>
    <r>
      <t>Formula:</t>
    </r>
    <r>
      <rPr>
        <sz val="11"/>
        <color theme="1"/>
        <rFont val="Trebuchet MS"/>
        <family val="2"/>
        <scheme val="minor"/>
      </rPr>
      <t xml:space="preserve"> </t>
    </r>
    <r>
      <rPr>
        <sz val="10"/>
        <color theme="1"/>
        <rFont val="Arial Unicode MS"/>
      </rPr>
      <t>=IF(OR(G2&lt;70,E2&lt;20000),"Warning","OK")</t>
    </r>
  </si>
  <si>
    <t>12. Target Achievement Ratio</t>
  </si>
  <si>
    <r>
      <t>Formula:</t>
    </r>
    <r>
      <rPr>
        <sz val="11"/>
        <color theme="1"/>
        <rFont val="Trebuchet MS"/>
        <family val="2"/>
        <scheme val="minor"/>
      </rPr>
      <t xml:space="preserve"> </t>
    </r>
    <r>
      <rPr>
        <sz val="10"/>
        <color theme="1"/>
        <rFont val="Arial Unicode MS"/>
      </rPr>
      <t>=IF(E2/F2&gt;=1,"Target Achieved","Target Missed")</t>
    </r>
  </si>
  <si>
    <t>13. Age Grouping</t>
  </si>
  <si>
    <r>
      <t>Formula:</t>
    </r>
    <r>
      <rPr>
        <sz val="11"/>
        <color theme="1"/>
        <rFont val="Trebuchet MS"/>
        <family val="2"/>
        <scheme val="minor"/>
      </rPr>
      <t xml:space="preserve"> </t>
    </r>
    <r>
      <rPr>
        <sz val="10"/>
        <color theme="1"/>
        <rFont val="Arial Unicode MS"/>
      </rPr>
      <t>=IF(I2&lt;25,"Fresher",IF(I2&lt;40,"Mid-level","Senior"))</t>
    </r>
  </si>
  <si>
    <t>14. Star Performer (Region + Sales)</t>
  </si>
  <si>
    <r>
      <t>Formula:</t>
    </r>
    <r>
      <rPr>
        <sz val="11"/>
        <color theme="1"/>
        <rFont val="Trebuchet MS"/>
        <family val="2"/>
        <scheme val="minor"/>
      </rPr>
      <t xml:space="preserve"> </t>
    </r>
    <r>
      <rPr>
        <sz val="10"/>
        <color theme="1"/>
        <rFont val="Arial Unicode MS"/>
      </rPr>
      <t>=IF(AND(D2="South",E2&gt;35000),"Star Performer","Normal")</t>
    </r>
  </si>
  <si>
    <t>15. Holiday Bonus for HR/Finance</t>
  </si>
  <si>
    <r>
      <t>Formula:</t>
    </r>
    <r>
      <rPr>
        <sz val="11"/>
        <color theme="1"/>
        <rFont val="Trebuchet MS"/>
        <family val="2"/>
        <scheme val="minor"/>
      </rPr>
      <t xml:space="preserve"> </t>
    </r>
    <r>
      <rPr>
        <sz val="10"/>
        <color theme="1"/>
        <rFont val="Arial Unicode MS"/>
      </rPr>
      <t>=IF(OR(C2="HR",C2="Finance"),"Holiday Bonus","No Bonus")</t>
    </r>
  </si>
  <si>
    <t>16. Retirement Check</t>
  </si>
  <si>
    <r>
      <t>Formula:</t>
    </r>
    <r>
      <rPr>
        <sz val="11"/>
        <color theme="1"/>
        <rFont val="Trebuchet MS"/>
        <family val="2"/>
        <scheme val="minor"/>
      </rPr>
      <t xml:space="preserve"> </t>
    </r>
    <r>
      <rPr>
        <sz val="10"/>
        <color theme="1"/>
        <rFont val="Arial Unicode MS"/>
      </rPr>
      <t>=IF(I2&gt;=58,"Retirement Soon","Active")</t>
    </r>
  </si>
  <si>
    <t>17. Sales Grading (A–D)</t>
  </si>
  <si>
    <r>
      <t>Formula:</t>
    </r>
    <r>
      <rPr>
        <sz val="11"/>
        <color theme="1"/>
        <rFont val="Trebuchet MS"/>
        <family val="2"/>
        <scheme val="minor"/>
      </rPr>
      <t xml:space="preserve"> </t>
    </r>
    <r>
      <rPr>
        <sz val="10"/>
        <color theme="1"/>
        <rFont val="Arial Unicode MS"/>
      </rPr>
      <t>=IF(E2&gt;=45000,"Grade A",IF(E2&gt;=30000,"Grade B",IF(E2&gt;=20000,"Grade C","Grade D")))</t>
    </r>
  </si>
  <si>
    <t>18. Incentive Based on Attendance</t>
  </si>
  <si>
    <r>
      <t>Formula:</t>
    </r>
    <r>
      <rPr>
        <sz val="11"/>
        <color theme="1"/>
        <rFont val="Trebuchet MS"/>
        <family val="2"/>
        <scheme val="minor"/>
      </rPr>
      <t xml:space="preserve"> </t>
    </r>
    <r>
      <rPr>
        <sz val="10"/>
        <color theme="1"/>
        <rFont val="Arial Unicode MS"/>
      </rPr>
      <t>=IF(G2&gt;=95,2000,1000)</t>
    </r>
  </si>
  <si>
    <t>19. Senior Performer Check</t>
  </si>
  <si>
    <r>
      <t>Formula:</t>
    </r>
    <r>
      <rPr>
        <sz val="11"/>
        <color theme="1"/>
        <rFont val="Trebuchet MS"/>
        <family val="2"/>
        <scheme val="minor"/>
      </rPr>
      <t xml:space="preserve"> </t>
    </r>
    <r>
      <rPr>
        <sz val="10"/>
        <color theme="1"/>
        <rFont val="Arial Unicode MS"/>
      </rPr>
      <t>=IF(AND(E2&gt;=35000,H2&gt;=5),"Senior Performer","Regular")</t>
    </r>
  </si>
  <si>
    <t>20. Final Performance Review</t>
  </si>
  <si>
    <r>
      <t>Formula:</t>
    </r>
    <r>
      <rPr>
        <sz val="11"/>
        <color theme="1"/>
        <rFont val="Trebuchet MS"/>
        <family val="2"/>
        <scheme val="minor"/>
      </rPr>
      <t xml:space="preserve"> </t>
    </r>
    <r>
      <rPr>
        <sz val="10"/>
        <color theme="1"/>
        <rFont val="Arial Unicode MS"/>
      </rPr>
      <t>=IF(E2&gt;=F2,"Achiever",IF(G2&lt;70,"Low Performer","Average"))</t>
    </r>
  </si>
  <si>
    <t>Fixed</t>
  </si>
  <si>
    <t>Normal data</t>
  </si>
  <si>
    <t>No Blank columns</t>
  </si>
  <si>
    <t>Flexible</t>
  </si>
  <si>
    <t>summarized Data</t>
  </si>
  <si>
    <t>English</t>
  </si>
  <si>
    <t>Eligible</t>
  </si>
  <si>
    <t>And</t>
  </si>
  <si>
    <t>OR</t>
  </si>
  <si>
    <t xml:space="preserve">Condition 1 </t>
  </si>
  <si>
    <t xml:space="preserve">Condition 2 </t>
  </si>
  <si>
    <t>Value</t>
  </si>
  <si>
    <t>✔</t>
  </si>
  <si>
    <t>❌</t>
  </si>
  <si>
    <t>🔹 Logical Functions</t>
  </si>
  <si>
    <t>1. Write a formula to check if Salary &gt; 50,000 → return “High” else “Low”.</t>
  </si>
  <si>
    <r>
      <t xml:space="preserve">2. Use </t>
    </r>
    <r>
      <rPr>
        <b/>
        <sz val="11"/>
        <color theme="1"/>
        <rFont val="Trebuchet MS"/>
        <family val="2"/>
        <scheme val="minor"/>
      </rPr>
      <t>IF</t>
    </r>
    <r>
      <rPr>
        <sz val="11"/>
        <color theme="1"/>
        <rFont val="Trebuchet MS"/>
        <family val="2"/>
        <scheme val="minor"/>
      </rPr>
      <t xml:space="preserve"> to check if Department = “HR” → return “HR Dept” else “Other”.</t>
    </r>
  </si>
  <si>
    <r>
      <t xml:space="preserve">3. Use </t>
    </r>
    <r>
      <rPr>
        <b/>
        <sz val="11"/>
        <color theme="1"/>
        <rFont val="Trebuchet MS"/>
        <family val="2"/>
        <scheme val="minor"/>
      </rPr>
      <t>IF + AND</t>
    </r>
    <r>
      <rPr>
        <sz val="11"/>
        <color theme="1"/>
        <rFont val="Trebuchet MS"/>
        <family val="2"/>
        <scheme val="minor"/>
      </rPr>
      <t xml:space="preserve"> → return “Eligible” if Salary &gt; 40,000 AND City = “Delhi”.</t>
    </r>
  </si>
  <si>
    <r>
      <t xml:space="preserve">4. Use </t>
    </r>
    <r>
      <rPr>
        <b/>
        <sz val="11"/>
        <color theme="1"/>
        <rFont val="Trebuchet MS"/>
        <family val="2"/>
        <scheme val="minor"/>
      </rPr>
      <t>IF + OR</t>
    </r>
    <r>
      <rPr>
        <sz val="11"/>
        <color theme="1"/>
        <rFont val="Trebuchet MS"/>
        <family val="2"/>
        <scheme val="minor"/>
      </rPr>
      <t xml:space="preserve"> → return “Yes” if Department = “IT” OR Department = “Finance”.</t>
    </r>
  </si>
  <si>
    <r>
      <t xml:space="preserve">5. Use </t>
    </r>
    <r>
      <rPr>
        <b/>
        <sz val="11"/>
        <color theme="1"/>
        <rFont val="Trebuchet MS"/>
        <family val="2"/>
        <scheme val="minor"/>
      </rPr>
      <t>IF + NOT</t>
    </r>
    <r>
      <rPr>
        <sz val="11"/>
        <color theme="1"/>
        <rFont val="Trebuchet MS"/>
        <family val="2"/>
        <scheme val="minor"/>
      </rPr>
      <t xml:space="preserve"> → return “Outside HR” if employee is NOT in HR.</t>
    </r>
  </si>
  <si>
    <r>
      <t xml:space="preserve">6. Use </t>
    </r>
    <r>
      <rPr>
        <b/>
        <sz val="11"/>
        <color theme="1"/>
        <rFont val="Trebuchet MS"/>
        <family val="2"/>
        <scheme val="minor"/>
      </rPr>
      <t>Nested IF</t>
    </r>
    <r>
      <rPr>
        <sz val="11"/>
        <color theme="1"/>
        <rFont val="Trebuchet MS"/>
        <family val="2"/>
        <scheme val="minor"/>
      </rPr>
      <t xml:space="preserve"> → classify Salary: &lt;30k = Low, 30k–60k = Medium, &gt;60k = High.</t>
    </r>
  </si>
  <si>
    <t>7. Combine IF + AND → check if Joining Year = 2023 AND Salary &gt; 70,000 → “Bonus Eligible”.</t>
  </si>
  <si>
    <t>data</t>
  </si>
  <si>
    <t xml:space="preserve">Customer Name </t>
  </si>
  <si>
    <t>Grade</t>
  </si>
  <si>
    <t>=IF(C3&gt;=90,"A",IF(C3&gt;=75,"B",IF(C3&gt;=40,"C","Fail")))</t>
  </si>
  <si>
    <t>Fail</t>
  </si>
  <si>
    <t>B</t>
  </si>
  <si>
    <t>&gt;=</t>
  </si>
  <si>
    <t>A</t>
  </si>
  <si>
    <t>c</t>
  </si>
  <si>
    <t>Isse kam hai to Fail</t>
  </si>
  <si>
    <t>C</t>
  </si>
  <si>
    <t>📊 Dataset: Student Performance &amp; Eligibility</t>
  </si>
  <si>
    <t>Student ID</t>
  </si>
  <si>
    <t>Math</t>
  </si>
  <si>
    <t>Science</t>
  </si>
  <si>
    <t>Attendance %</t>
  </si>
  <si>
    <t>Sports Score</t>
  </si>
  <si>
    <t>Fees Paid</t>
  </si>
  <si>
    <t>Remarks (To Fill)</t>
  </si>
  <si>
    <t>S101</t>
  </si>
  <si>
    <t>Aarav</t>
  </si>
  <si>
    <t>Yes</t>
  </si>
  <si>
    <t>S102</t>
  </si>
  <si>
    <t>Diya</t>
  </si>
  <si>
    <t>No</t>
  </si>
  <si>
    <t>S103</t>
  </si>
  <si>
    <t>Kabir</t>
  </si>
  <si>
    <t>S104</t>
  </si>
  <si>
    <t>Ananya</t>
  </si>
  <si>
    <t>S105</t>
  </si>
  <si>
    <t>Vivaan</t>
  </si>
  <si>
    <t>S106</t>
  </si>
  <si>
    <t>Meera</t>
  </si>
  <si>
    <t>S107</t>
  </si>
  <si>
    <t>Arjun</t>
  </si>
  <si>
    <t>S108</t>
  </si>
  <si>
    <t>Ishita</t>
  </si>
  <si>
    <t>S109</t>
  </si>
  <si>
    <t>Reyansh</t>
  </si>
  <si>
    <t>S110</t>
  </si>
  <si>
    <t>Kavya</t>
  </si>
  <si>
    <t>🧠 Practice Questions</t>
  </si>
  <si>
    <t>🔹 Section 1: Basic IF</t>
  </si>
  <si>
    <r>
      <t xml:space="preserve">1. Create a column </t>
    </r>
    <r>
      <rPr>
        <b/>
        <sz val="11"/>
        <color theme="1"/>
        <rFont val="Trebuchet MS"/>
        <family val="2"/>
        <scheme val="minor"/>
      </rPr>
      <t>“Pass/Fail (Math)”</t>
    </r>
  </si>
  <si>
    <t>Condition: If Math ≥ 40 → "Pass" else "Fail"</t>
  </si>
  <si>
    <r>
      <t xml:space="preserve">2. Create a column </t>
    </r>
    <r>
      <rPr>
        <b/>
        <sz val="11"/>
        <color theme="1"/>
        <rFont val="Trebuchet MS"/>
        <family val="2"/>
        <scheme val="minor"/>
      </rPr>
      <t>“Good Attendance”</t>
    </r>
  </si>
  <si>
    <t>If Attendance ≥ 85 → "Good" else "Low"</t>
  </si>
  <si>
    <r>
      <t xml:space="preserve">3. Create a column </t>
    </r>
    <r>
      <rPr>
        <b/>
        <sz val="11"/>
        <color theme="1"/>
        <rFont val="Trebuchet MS"/>
        <family val="2"/>
        <scheme val="minor"/>
      </rPr>
      <t>“Sports Eligible”</t>
    </r>
  </si>
  <si>
    <t>If Sports Score ≥ 50 → "Yes" else "No"</t>
  </si>
  <si>
    <r>
      <t xml:space="preserve">4. Create a column </t>
    </r>
    <r>
      <rPr>
        <b/>
        <sz val="11"/>
        <color theme="1"/>
        <rFont val="Trebuchet MS"/>
        <family val="2"/>
        <scheme val="minor"/>
      </rPr>
      <t>“Fees Status”</t>
    </r>
  </si>
  <si>
    <t>If Fees Paid = "Yes" → "Clear" else "Pending"</t>
  </si>
  <si>
    <t>🔹 Section 2: IF with AND</t>
  </si>
  <si>
    <r>
      <t xml:space="preserve">5. Create a column </t>
    </r>
    <r>
      <rPr>
        <b/>
        <sz val="11"/>
        <color theme="1"/>
        <rFont val="Trebuchet MS"/>
        <family val="2"/>
        <scheme val="minor"/>
      </rPr>
      <t>“Overall Pass”</t>
    </r>
  </si>
  <si>
    <t>If Math ≥ 40 AND Science ≥ 40 AND English ≥ 40 → "Pass" else "Fail"</t>
  </si>
  <si>
    <r>
      <t xml:space="preserve">6. Create a column </t>
    </r>
    <r>
      <rPr>
        <b/>
        <sz val="11"/>
        <color theme="1"/>
        <rFont val="Trebuchet MS"/>
        <family val="2"/>
        <scheme val="minor"/>
      </rPr>
      <t>“Scholarship Eligible”</t>
    </r>
  </si>
  <si>
    <t>If Math ≥ 85 AND Science ≥ 85 AND Attendance ≥ 90 → "Eligible" else "Not Eligible"</t>
  </si>
  <si>
    <r>
      <t xml:space="preserve">7. Create a column </t>
    </r>
    <r>
      <rPr>
        <b/>
        <sz val="11"/>
        <color theme="1"/>
        <rFont val="Trebuchet MS"/>
        <family val="2"/>
        <scheme val="minor"/>
      </rPr>
      <t>“Sports Team Selection”</t>
    </r>
  </si>
  <si>
    <t>If Sports Score ≥ 60 AND Attendance ≥ 80 → "Selected" else "Not Selected"</t>
  </si>
  <si>
    <t>🔹 Section 3: IF with OR</t>
  </si>
  <si>
    <r>
      <t xml:space="preserve">8. Create a column </t>
    </r>
    <r>
      <rPr>
        <b/>
        <sz val="11"/>
        <color theme="1"/>
        <rFont val="Trebuchet MS"/>
        <family val="2"/>
        <scheme val="minor"/>
      </rPr>
      <t>“Re-Test Required”</t>
    </r>
  </si>
  <si>
    <t>If Math &lt; 40 OR Science &lt; 40 OR English &lt; 40 → "Yes" else "No"</t>
  </si>
  <si>
    <r>
      <t xml:space="preserve">9. Create a column </t>
    </r>
    <r>
      <rPr>
        <b/>
        <sz val="11"/>
        <color theme="1"/>
        <rFont val="Trebuchet MS"/>
        <family val="2"/>
        <scheme val="minor"/>
      </rPr>
      <t>“Attendance Warning”</t>
    </r>
  </si>
  <si>
    <t>If Attendance &lt; 75 OR Fees Paid = "No" → "Warning" else "OK"</t>
  </si>
  <si>
    <r>
      <t xml:space="preserve">10. Create a column </t>
    </r>
    <r>
      <rPr>
        <b/>
        <sz val="11"/>
        <color theme="1"/>
        <rFont val="Trebuchet MS"/>
        <family val="2"/>
        <scheme val="minor"/>
      </rPr>
      <t>“Extra Coaching”</t>
    </r>
  </si>
  <si>
    <t>If Math &lt; 50 OR Science &lt; 50 → "Required" else "Not Required"</t>
  </si>
  <si>
    <t>🔹 Section 4: IF with NOT</t>
  </si>
  <si>
    <r>
      <t xml:space="preserve">11. Create a column </t>
    </r>
    <r>
      <rPr>
        <b/>
        <sz val="11"/>
        <color theme="1"/>
        <rFont val="Trebuchet MS"/>
        <family val="2"/>
        <scheme val="minor"/>
      </rPr>
      <t>“Fee Defaulter”</t>
    </r>
  </si>
  <si>
    <t>If NOT(Fees Paid = "Yes") → "Defaulter" else "Clear"</t>
  </si>
  <si>
    <r>
      <t xml:space="preserve">12. Create a column </t>
    </r>
    <r>
      <rPr>
        <b/>
        <sz val="11"/>
        <color theme="1"/>
        <rFont val="Trebuchet MS"/>
        <family val="2"/>
        <scheme val="minor"/>
      </rPr>
      <t>“Regular Student”</t>
    </r>
  </si>
  <si>
    <t>If NOT(Attendance &lt; 75) → "Regular" else "Irregular"</t>
  </si>
  <si>
    <t>🔹 Section 5: Nested IF</t>
  </si>
  <si>
    <r>
      <t xml:space="preserve">13. Create a column </t>
    </r>
    <r>
      <rPr>
        <b/>
        <sz val="11"/>
        <color theme="1"/>
        <rFont val="Trebuchet MS"/>
        <family val="2"/>
        <scheme val="minor"/>
      </rPr>
      <t>“Math Grade”</t>
    </r>
  </si>
  <si>
    <t>≥ 90 → A</t>
  </si>
  <si>
    <t>≥ 75 → B</t>
  </si>
  <si>
    <t>≥ 60 → C</t>
  </si>
  <si>
    <t>≥ 40 → D</t>
  </si>
  <si>
    <t>Else → F</t>
  </si>
  <si>
    <r>
      <t xml:space="preserve">14. Create a column </t>
    </r>
    <r>
      <rPr>
        <b/>
        <sz val="11"/>
        <color theme="1"/>
        <rFont val="Trebuchet MS"/>
        <family val="2"/>
        <scheme val="minor"/>
      </rPr>
      <t>“Performance Level” (Based on Average of 3 Subjects)</t>
    </r>
  </si>
  <si>
    <t>≥ 85 → Excellent</t>
  </si>
  <si>
    <t>≥ 70 → Very Good</t>
  </si>
  <si>
    <t>≥ 55 → Good</t>
  </si>
  <si>
    <t>≥ 40 → Average</t>
  </si>
  <si>
    <t>Else → Poor</t>
  </si>
  <si>
    <r>
      <t xml:space="preserve">15. Create a column </t>
    </r>
    <r>
      <rPr>
        <b/>
        <sz val="11"/>
        <color theme="1"/>
        <rFont val="Trebuchet MS"/>
        <family val="2"/>
        <scheme val="minor"/>
      </rPr>
      <t>“Final Result”</t>
    </r>
  </si>
  <si>
    <t>If any subject &lt; 40 → "Fail"</t>
  </si>
  <si>
    <t>Else if Attendance &lt; 75 → "Detained"</t>
  </si>
  <si>
    <t>Else → "Promoted"</t>
  </si>
  <si>
    <r>
      <t xml:space="preserve">16. Create a column </t>
    </r>
    <r>
      <rPr>
        <b/>
        <sz val="11"/>
        <color theme="1"/>
        <rFont val="Trebuchet MS"/>
        <family val="2"/>
        <scheme val="minor"/>
      </rPr>
      <t>“Award Category”</t>
    </r>
  </si>
  <si>
    <t>If Average ≥ 90 AND Attendance ≥ 95 → "Gold Medal"</t>
  </si>
  <si>
    <t>If Average ≥ 75 → "Silver Medal"</t>
  </si>
  <si>
    <t>If Average ≥ 60 → "Bronze Medal"</t>
  </si>
  <si>
    <t>Else → "Participation"</t>
  </si>
  <si>
    <t>🔥 Advanced Logic Challenge (For Real Excel Thinkers)</t>
  </si>
  <si>
    <r>
      <t xml:space="preserve">17. Create a column </t>
    </r>
    <r>
      <rPr>
        <b/>
        <sz val="11"/>
        <color theme="1"/>
        <rFont val="Trebuchet MS"/>
        <family val="2"/>
        <scheme val="minor"/>
      </rPr>
      <t>“Special Recognition”</t>
    </r>
  </si>
  <si>
    <t>If:</t>
  </si>
  <si>
    <t>(Math ≥ 85 OR Science ≥ 85)</t>
  </si>
  <si>
    <t>AND</t>
  </si>
  <si>
    <t>Attendance ≥ 90</t>
  </si>
  <si>
    <t>Fees Paid = "Yes"</t>
  </si>
  <si>
    <t>→ "Recognized"</t>
  </si>
  <si>
    <t>Else → "Not Recognized"</t>
  </si>
  <si>
    <r>
      <t xml:space="preserve">18. Create a column </t>
    </r>
    <r>
      <rPr>
        <b/>
        <sz val="11"/>
        <color theme="1"/>
        <rFont val="Trebuchet MS"/>
        <family val="2"/>
        <scheme val="minor"/>
      </rPr>
      <t>“Risk Category”</t>
    </r>
  </si>
  <si>
    <t>If Attendance &lt; 60 → High Risk</t>
  </si>
  <si>
    <t>If Attendance &lt; 75 → Medium Risk</t>
  </si>
  <si>
    <t>Else → Low Risk</t>
  </si>
  <si>
    <r>
      <t xml:space="preserve">19. Create a column </t>
    </r>
    <r>
      <rPr>
        <b/>
        <sz val="11"/>
        <color theme="1"/>
        <rFont val="Trebuchet MS"/>
        <family val="2"/>
        <scheme val="minor"/>
      </rPr>
      <t>“Sports Excellence”</t>
    </r>
  </si>
  <si>
    <t>If Sports ≥ 75 → Outstanding</t>
  </si>
  <si>
    <t>If Sports ≥ 60 → Good</t>
  </si>
  <si>
    <t>If Sports ≥ 40 → Average</t>
  </si>
  <si>
    <t>Else → Needs Improvement</t>
  </si>
  <si>
    <r>
      <t xml:space="preserve">20. Create a column </t>
    </r>
    <r>
      <rPr>
        <b/>
        <sz val="11"/>
        <color theme="1"/>
        <rFont val="Trebuchet MS"/>
        <family val="2"/>
        <scheme val="minor"/>
      </rPr>
      <t>“Parent Meeting Required”</t>
    </r>
  </si>
  <si>
    <t>Overall Fail</t>
  </si>
  <si>
    <t>Attendance &lt; 70</t>
  </si>
  <si>
    <t>Fees Paid = "No"</t>
  </si>
  <si>
    <t>→ "Yes"</t>
  </si>
  <si>
    <t>Else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</si>
</sst>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409]* #,##0.00_ ;_-[$$-409]* \-#,##0.00\ ;_-[$$-409]* &quot;-&quot;??_ ;_-@_ "/>
    <numFmt numFmtId="165" formatCode="_-[$£-809]* #,##0.00_-;\-[$£-809]* #,##0.00_-;_-[$£-809]* &quot;-&quot;??_-;_-@_-"/>
  </numFmts>
  <fonts count="16">
    <font>
      <sz val="11"/>
      <color theme="1"/>
      <name val="Trebuchet MS"/>
      <family val="2"/>
      <scheme val="minor"/>
    </font>
    <font>
      <sz val="10"/>
      <color theme="1"/>
      <name val="Cambria"/>
      <family val="1"/>
    </font>
    <font>
      <b/>
      <sz val="11"/>
      <color theme="1"/>
      <name val="Trebuchet MS"/>
      <family val="2"/>
      <scheme val="minor"/>
    </font>
    <font>
      <b/>
      <i/>
      <u/>
      <sz val="11"/>
      <color theme="1"/>
      <name val="Trebuchet MS"/>
      <family val="2"/>
      <scheme val="minor"/>
    </font>
    <font>
      <sz val="8"/>
      <name val="Trebuchet MS"/>
      <family val="2"/>
      <scheme val="minor"/>
    </font>
    <font>
      <b/>
      <sz val="10"/>
      <color theme="1"/>
      <name val="Cambria"/>
      <family val="1"/>
    </font>
    <font>
      <sz val="22"/>
      <color theme="1"/>
      <name val="Trebuchet MS"/>
      <family val="2"/>
      <scheme val="minor"/>
    </font>
    <font>
      <sz val="11"/>
      <color theme="1"/>
      <name val="Trebuchet MS"/>
      <family val="2"/>
      <scheme val="minor"/>
    </font>
    <font>
      <sz val="10"/>
      <color theme="1"/>
      <name val="Arial Unicode MS"/>
    </font>
    <font>
      <i/>
      <sz val="11"/>
      <color theme="1"/>
      <name val="Trebuchet MS"/>
      <family val="2"/>
      <scheme val="minor"/>
    </font>
    <font>
      <b/>
      <sz val="12"/>
      <color theme="1"/>
      <name val="Trebuchet MS"/>
      <family val="2"/>
      <scheme val="minor"/>
    </font>
    <font>
      <b/>
      <sz val="11"/>
      <color theme="2"/>
      <name val="Trebuchet MS"/>
      <family val="2"/>
      <scheme val="minor"/>
    </font>
    <font>
      <sz val="11"/>
      <color theme="1" tint="0.34998626667073579"/>
      <name val="Trebuchet MS"/>
      <family val="2"/>
      <scheme val="minor"/>
    </font>
    <font>
      <b/>
      <sz val="18"/>
      <color theme="1"/>
      <name val="Trebuchet MS"/>
      <family val="2"/>
      <scheme val="minor"/>
    </font>
    <font>
      <b/>
      <sz val="13.5"/>
      <color theme="1"/>
      <name val="Trebuchet MS"/>
      <family val="2"/>
      <scheme val="minor"/>
    </font>
    <font>
      <b/>
      <sz val="24"/>
      <color theme="1"/>
      <name val="Trebuchet MS"/>
      <family val="2"/>
      <scheme val="minor"/>
    </font>
  </fonts>
  <fills count="1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bgColor indexed="64"/>
      </patternFill>
    </fill>
    <fill>
      <patternFill patternType="solid">
        <fgColor theme="3"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0"/>
        <bgColor indexed="64"/>
      </patternFill>
    </fill>
    <fill>
      <patternFill patternType="solid">
        <fgColor theme="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3">
    <xf numFmtId="0" fontId="0" fillId="0" borderId="0"/>
    <xf numFmtId="43" fontId="7" fillId="0" borderId="0" applyFont="0" applyFill="0" applyBorder="0" applyAlignment="0" applyProtection="0"/>
    <xf numFmtId="9" fontId="7" fillId="0" borderId="0" applyFont="0" applyFill="0" applyBorder="0" applyAlignment="0" applyProtection="0"/>
  </cellStyleXfs>
  <cellXfs count="48">
    <xf numFmtId="0" fontId="0" fillId="0" borderId="0" xfId="0"/>
    <xf numFmtId="0" fontId="3" fillId="0" borderId="0" xfId="0" applyFont="1"/>
    <xf numFmtId="0" fontId="2" fillId="0" borderId="0" xfId="0" applyFont="1"/>
    <xf numFmtId="0" fontId="0" fillId="0" borderId="0" xfId="0" applyAlignment="1">
      <alignment wrapText="1"/>
    </xf>
    <xf numFmtId="0" fontId="1" fillId="3" borderId="1" xfId="0" applyFont="1" applyFill="1" applyBorder="1" applyAlignment="1">
      <alignment horizontal="left" vertical="center" wrapText="1"/>
    </xf>
    <xf numFmtId="0" fontId="0" fillId="4" borderId="1" xfId="0" applyFill="1" applyBorder="1"/>
    <xf numFmtId="0" fontId="6" fillId="2" borderId="0" xfId="0" applyFont="1" applyFill="1"/>
    <xf numFmtId="0" fontId="0" fillId="0" borderId="0" xfId="0" applyAlignment="1">
      <alignment horizontal="left" indent="1"/>
    </xf>
    <xf numFmtId="0" fontId="0" fillId="0" borderId="0" xfId="0" applyAlignment="1">
      <alignment horizontal="center" wrapText="1"/>
    </xf>
    <xf numFmtId="164" fontId="0" fillId="0" borderId="0" xfId="0" applyNumberFormat="1"/>
    <xf numFmtId="165" fontId="0" fillId="0" borderId="0" xfId="0" applyNumberFormat="1"/>
    <xf numFmtId="44" fontId="0" fillId="0" borderId="0" xfId="0" applyNumberFormat="1"/>
    <xf numFmtId="43" fontId="0" fillId="0" borderId="0" xfId="1" applyFont="1"/>
    <xf numFmtId="0" fontId="0" fillId="0" borderId="0" xfId="0" applyAlignment="1">
      <alignment vertical="center" wrapText="1"/>
    </xf>
    <xf numFmtId="0" fontId="2" fillId="0" borderId="0" xfId="0" applyFont="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top"/>
    </xf>
    <xf numFmtId="0" fontId="10"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8" fillId="0" borderId="0" xfId="0" quotePrefix="1" applyFont="1" applyAlignment="1">
      <alignment horizontal="left" vertical="center" indent="1"/>
    </xf>
    <xf numFmtId="0" fontId="8" fillId="0" borderId="0" xfId="0" quotePrefix="1" applyFont="1"/>
    <xf numFmtId="0" fontId="2" fillId="5" borderId="1" xfId="0" applyFont="1" applyFill="1" applyBorder="1" applyAlignment="1">
      <alignment horizontal="center" vertical="top"/>
    </xf>
    <xf numFmtId="9" fontId="0" fillId="0" borderId="0" xfId="2" applyFont="1"/>
    <xf numFmtId="0" fontId="11" fillId="6" borderId="1" xfId="0" applyFont="1" applyFill="1" applyBorder="1"/>
    <xf numFmtId="0" fontId="12" fillId="4" borderId="1" xfId="0" applyFont="1" applyFill="1" applyBorder="1"/>
    <xf numFmtId="0" fontId="0" fillId="0" borderId="1" xfId="0" applyBorder="1"/>
    <xf numFmtId="0" fontId="0" fillId="0" borderId="0" xfId="2" applyNumberFormat="1" applyFont="1"/>
    <xf numFmtId="14" fontId="0" fillId="0" borderId="0" xfId="2" applyNumberFormat="1" applyFont="1"/>
    <xf numFmtId="0" fontId="13" fillId="0" borderId="0" xfId="0" applyFont="1" applyAlignment="1">
      <alignment vertical="center"/>
    </xf>
    <xf numFmtId="0" fontId="14" fillId="0" borderId="0" xfId="0" applyFont="1" applyAlignment="1">
      <alignment vertical="center"/>
    </xf>
    <xf numFmtId="0" fontId="0" fillId="0" borderId="2" xfId="0" applyBorder="1" applyAlignment="1">
      <alignment wrapText="1"/>
    </xf>
    <xf numFmtId="0" fontId="0" fillId="0" borderId="2" xfId="0" applyBorder="1" applyAlignment="1">
      <alignment vertical="center"/>
    </xf>
    <xf numFmtId="0" fontId="2" fillId="7" borderId="1" xfId="0" applyFont="1" applyFill="1" applyBorder="1" applyAlignment="1">
      <alignment horizontal="center" vertical="top"/>
    </xf>
    <xf numFmtId="0" fontId="2" fillId="8" borderId="3" xfId="0" applyFont="1" applyFill="1" applyBorder="1" applyAlignment="1">
      <alignment horizontal="center" vertical="top"/>
    </xf>
    <xf numFmtId="0" fontId="2" fillId="0" borderId="4" xfId="0" applyFont="1" applyBorder="1"/>
    <xf numFmtId="0" fontId="2" fillId="0" borderId="5" xfId="0" applyFont="1" applyBorder="1"/>
    <xf numFmtId="0" fontId="2" fillId="0" borderId="6" xfId="0" applyFont="1" applyBorder="1"/>
    <xf numFmtId="0" fontId="0" fillId="0" borderId="6" xfId="0" applyBorder="1"/>
    <xf numFmtId="0" fontId="0" fillId="9" borderId="1" xfId="0" applyFill="1" applyBorder="1"/>
    <xf numFmtId="0" fontId="0" fillId="10" borderId="6" xfId="0" applyFill="1" applyBorder="1"/>
    <xf numFmtId="0" fontId="2" fillId="0" borderId="1" xfId="0" applyFont="1" applyBorder="1" applyAlignment="1">
      <alignment horizontal="center" vertical="top" wrapText="1"/>
    </xf>
    <xf numFmtId="0" fontId="13" fillId="0" borderId="0" xfId="0" quotePrefix="1" applyFont="1"/>
    <xf numFmtId="0" fontId="0" fillId="5" borderId="0" xfId="0" applyFill="1"/>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11" borderId="7" xfId="0" applyFont="1" applyFill="1" applyBorder="1" applyAlignment="1">
      <alignment horizontal="center"/>
    </xf>
    <xf numFmtId="0" fontId="15" fillId="0" borderId="0" xfId="0" applyFont="1" applyAlignment="1">
      <alignment vertical="center"/>
    </xf>
  </cellXfs>
  <cellStyles count="3">
    <cellStyle name="Comma" xfId="1" builtinId="3"/>
    <cellStyle name="Normal" xfId="0" builtinId="0"/>
    <cellStyle name="Percent" xfId="2" builtinId="5"/>
  </cellStyles>
  <dxfs count="1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Trebuchet MS"/>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777240</xdr:colOff>
      <xdr:row>8</xdr:row>
      <xdr:rowOff>99060</xdr:rowOff>
    </xdr:from>
    <xdr:to>
      <xdr:col>2</xdr:col>
      <xdr:colOff>4404360</xdr:colOff>
      <xdr:row>16</xdr:row>
      <xdr:rowOff>114300</xdr:rowOff>
    </xdr:to>
    <xdr:sp macro="" textlink="">
      <xdr:nvSpPr>
        <xdr:cNvPr id="2" name="Rectangle: Rounded Corners 1">
          <a:extLst>
            <a:ext uri="{FF2B5EF4-FFF2-40B4-BE49-F238E27FC236}">
              <a16:creationId xmlns:a16="http://schemas.microsoft.com/office/drawing/2014/main" id="{9FBF1E7B-7662-3F2C-6195-1EE328B1523F}"/>
            </a:ext>
          </a:extLst>
        </xdr:cNvPr>
        <xdr:cNvSpPr/>
      </xdr:nvSpPr>
      <xdr:spPr>
        <a:xfrm>
          <a:off x="1386840" y="2476500"/>
          <a:ext cx="4922520" cy="14782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 (for class):</a:t>
          </a:r>
        </a:p>
        <a:p>
          <a:r>
            <a:rPr lang="en-IN" sz="1400"/>
            <a:t>Write marks of 5 students. Use IF to check if they Pass/Fail.</a:t>
          </a:r>
        </a:p>
        <a:p>
          <a:r>
            <a:rPr lang="en-IN" sz="1400"/>
            <a:t>Use Nested IF to assign grades: A (≥90), B (≥75), C (else).</a:t>
          </a:r>
        </a:p>
        <a:p>
          <a:r>
            <a:rPr lang="en-IN" sz="1400"/>
            <a:t>Use IF + AND to check eligibility for scholarship.</a:t>
          </a:r>
        </a:p>
        <a:p>
          <a:r>
            <a:rPr lang="en-IN" sz="1400"/>
            <a:t>Use IF + OR to check pass in at least one subject.</a:t>
          </a:r>
        </a:p>
        <a:p>
          <a:pPr algn="l"/>
          <a:endParaRPr lang="en-IN" sz="1400"/>
        </a:p>
      </xdr:txBody>
    </xdr:sp>
    <xdr:clientData/>
  </xdr:twoCellAnchor>
  <xdr:twoCellAnchor>
    <xdr:from>
      <xdr:col>1</xdr:col>
      <xdr:colOff>723900</xdr:colOff>
      <xdr:row>24</xdr:row>
      <xdr:rowOff>152400</xdr:rowOff>
    </xdr:from>
    <xdr:to>
      <xdr:col>2</xdr:col>
      <xdr:colOff>5577840</xdr:colOff>
      <xdr:row>33</xdr:row>
      <xdr:rowOff>15240</xdr:rowOff>
    </xdr:to>
    <xdr:sp macro="" textlink="">
      <xdr:nvSpPr>
        <xdr:cNvPr id="3" name="Rectangle: Rounded Corners 2">
          <a:extLst>
            <a:ext uri="{FF2B5EF4-FFF2-40B4-BE49-F238E27FC236}">
              <a16:creationId xmlns:a16="http://schemas.microsoft.com/office/drawing/2014/main" id="{42264B7C-317D-8ED7-6BB6-A3AD446B3E05}"/>
            </a:ext>
          </a:extLst>
        </xdr:cNvPr>
        <xdr:cNvSpPr/>
      </xdr:nvSpPr>
      <xdr:spPr>
        <a:xfrm>
          <a:off x="1333500" y="6720840"/>
          <a:ext cx="6149340" cy="150876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a:t>
          </a:r>
        </a:p>
        <a:p>
          <a:r>
            <a:rPr lang="en-IN" sz="1400"/>
            <a:t>Use </a:t>
          </a:r>
          <a:r>
            <a:rPr lang="en-IN" sz="1400" b="1"/>
            <a:t>VLOOKUP</a:t>
          </a:r>
          <a:r>
            <a:rPr lang="en-IN" sz="1400"/>
            <a:t> to find the marks of a student using their roll number.</a:t>
          </a:r>
        </a:p>
        <a:p>
          <a:r>
            <a:rPr lang="en-IN" sz="1400"/>
            <a:t>Use </a:t>
          </a:r>
          <a:r>
            <a:rPr lang="en-IN" sz="1400" b="1"/>
            <a:t>HLOOKUP</a:t>
          </a:r>
          <a:r>
            <a:rPr lang="en-IN" sz="1400"/>
            <a:t> to find the price of a product from a product table.</a:t>
          </a:r>
        </a:p>
        <a:p>
          <a:r>
            <a:rPr lang="en-IN" sz="1400"/>
            <a:t>Use </a:t>
          </a:r>
          <a:r>
            <a:rPr lang="en-IN" sz="1400" b="1"/>
            <a:t>INDEX + MATCH</a:t>
          </a:r>
          <a:r>
            <a:rPr lang="en-IN" sz="1400"/>
            <a:t> to find who is sitting in Row 2, Column 3 of a class seating plan.</a:t>
          </a:r>
        </a:p>
        <a:p>
          <a:r>
            <a:rPr lang="en-IN" sz="1400"/>
            <a:t>Use </a:t>
          </a:r>
          <a:r>
            <a:rPr lang="en-IN" sz="1400" b="1"/>
            <a:t>XLOOKUP</a:t>
          </a:r>
          <a:r>
            <a:rPr lang="en-IN" sz="1400"/>
            <a:t> to search an employee’s department by their ID.</a:t>
          </a:r>
        </a:p>
        <a:p>
          <a:pPr algn="l"/>
          <a:endParaRPr lang="en-IN" sz="1400"/>
        </a:p>
      </xdr:txBody>
    </xdr:sp>
    <xdr:clientData/>
  </xdr:twoCellAnchor>
  <xdr:twoCellAnchor>
    <xdr:from>
      <xdr:col>1</xdr:col>
      <xdr:colOff>533400</xdr:colOff>
      <xdr:row>42</xdr:row>
      <xdr:rowOff>38100</xdr:rowOff>
    </xdr:from>
    <xdr:to>
      <xdr:col>2</xdr:col>
      <xdr:colOff>4937760</xdr:colOff>
      <xdr:row>51</xdr:row>
      <xdr:rowOff>160020</xdr:rowOff>
    </xdr:to>
    <xdr:sp macro="" textlink="">
      <xdr:nvSpPr>
        <xdr:cNvPr id="4" name="Rectangle: Rounded Corners 3">
          <a:extLst>
            <a:ext uri="{FF2B5EF4-FFF2-40B4-BE49-F238E27FC236}">
              <a16:creationId xmlns:a16="http://schemas.microsoft.com/office/drawing/2014/main" id="{9DCE0DB5-FBEE-5D82-2098-D556B526D6FA}"/>
            </a:ext>
          </a:extLst>
        </xdr:cNvPr>
        <xdr:cNvSpPr/>
      </xdr:nvSpPr>
      <xdr:spPr>
        <a:xfrm>
          <a:off x="1143000" y="11178540"/>
          <a:ext cx="5699760" cy="17678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a:t>
          </a:r>
        </a:p>
        <a:p>
          <a:r>
            <a:rPr lang="en-IN" sz="1400"/>
            <a:t>Create a Pivot Table of student marks by subject to find average per subject.</a:t>
          </a:r>
        </a:p>
        <a:p>
          <a:r>
            <a:rPr lang="en-IN" sz="1400"/>
            <a:t>Make a sales dataset and summarize sales per city using Pivot Table.</a:t>
          </a:r>
        </a:p>
        <a:p>
          <a:r>
            <a:rPr lang="en-IN" sz="1400"/>
            <a:t>Apply a filter to show sales only for “Electronics.”</a:t>
          </a:r>
        </a:p>
        <a:p>
          <a:r>
            <a:rPr lang="en-IN" sz="1400"/>
            <a:t>Convert your Pivot Table into a Pivot Chart (Bar Chart).</a:t>
          </a:r>
        </a:p>
        <a:p>
          <a:pPr algn="l"/>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CAC6A-F774-4165-9F3B-51B81498FC20}" name="Table1" displayName="Table1" ref="B2:D7" totalsRowShown="0" headerRowDxfId="12">
  <autoFilter ref="B2:D7" xr:uid="{728CAC6A-F774-4165-9F3B-51B81498FC20}"/>
  <tableColumns count="3">
    <tableColumn id="1" xr3:uid="{0B526569-67EE-4A10-8BDC-9F791673B978}" name="Sub-Topic"/>
    <tableColumn id="2" xr3:uid="{F3B47921-F3D0-4326-BE59-1A65DCA55B96}" name="Explanation (with Syntax)" dataDxfId="11"/>
    <tableColumn id="3" xr3:uid="{73186BAA-E622-42DC-A94C-E34FB809E255}" name="Real Life Exampl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F7E2E6-ED8E-420B-B21B-44E19175C9D9}" name="Table2" displayName="Table2" ref="B19:D24" totalsRowShown="0" headerRowDxfId="9" dataDxfId="8">
  <autoFilter ref="B19:D24" xr:uid="{D6F7E2E6-ED8E-420B-B21B-44E19175C9D9}"/>
  <tableColumns count="3">
    <tableColumn id="1" xr3:uid="{20402E1A-D21A-4ED9-82BC-ED8A18CAFE14}" name="Sub-Topic" dataDxfId="7"/>
    <tableColumn id="2" xr3:uid="{87C45049-6C28-443B-AA61-2DC7B400A983}" name="Explanation (with Syntax)" dataDxfId="6"/>
    <tableColumn id="3" xr3:uid="{8677BB1B-82B8-49AA-BB26-A0D927217DDC}" name="Real Life Exampl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D8C515-70BB-4DC2-8B39-7D86689533B9}" name="Table3" displayName="Table3" ref="B35:D41" totalsRowShown="0" headerRowDxfId="4" dataDxfId="3">
  <autoFilter ref="B35:D41" xr:uid="{E8D8C515-70BB-4DC2-8B39-7D86689533B9}"/>
  <tableColumns count="3">
    <tableColumn id="1" xr3:uid="{09A68515-7DB4-4DA6-8B93-9F89A7FCA2AB}" name="Sub-Topic" dataDxfId="2"/>
    <tableColumn id="2" xr3:uid="{33F644BE-DF0E-4A1E-9F09-1739C64642D2}" name="Explanation (with Steps/Syntax)" dataDxfId="1"/>
    <tableColumn id="3" xr3:uid="{0636DC6B-3FFF-4AE3-8373-669A89F84B3A}" name="Real Life Example" dataDxfId="0"/>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86F8-B09A-43D8-ACA6-C598E385087C}">
  <dimension ref="A1:D10"/>
  <sheetViews>
    <sheetView workbookViewId="0">
      <selection activeCell="A3" sqref="A3"/>
    </sheetView>
  </sheetViews>
  <sheetFormatPr defaultRowHeight="16.5"/>
  <cols>
    <col min="1" max="1" width="90.25" customWidth="1"/>
    <col min="4" max="4" width="16.75" customWidth="1"/>
  </cols>
  <sheetData>
    <row r="1" spans="1:4" ht="51">
      <c r="A1" s="15" t="s">
        <v>1</v>
      </c>
      <c r="B1" s="5" t="s">
        <v>10</v>
      </c>
    </row>
    <row r="2" spans="1:4" ht="25.5">
      <c r="A2" s="15" t="s">
        <v>0</v>
      </c>
      <c r="B2" s="5" t="s">
        <v>11</v>
      </c>
    </row>
    <row r="3" spans="1:4" ht="51">
      <c r="A3" s="4" t="s">
        <v>2</v>
      </c>
      <c r="B3" s="5" t="s">
        <v>12</v>
      </c>
      <c r="D3" s="1"/>
    </row>
    <row r="4" spans="1:4" ht="38.25">
      <c r="A4" s="4" t="s">
        <v>3</v>
      </c>
      <c r="B4" s="5" t="s">
        <v>13</v>
      </c>
    </row>
    <row r="5" spans="1:4">
      <c r="A5" s="4" t="s">
        <v>4</v>
      </c>
      <c r="B5" s="5" t="s">
        <v>14</v>
      </c>
    </row>
    <row r="6" spans="1:4" ht="63.75">
      <c r="A6" s="4" t="s">
        <v>5</v>
      </c>
      <c r="B6" s="5" t="s">
        <v>15</v>
      </c>
    </row>
    <row r="7" spans="1:4" ht="51">
      <c r="A7" s="4" t="s">
        <v>6</v>
      </c>
      <c r="B7" s="5" t="s">
        <v>16</v>
      </c>
    </row>
    <row r="8" spans="1:4" ht="38.25">
      <c r="A8" s="4" t="s">
        <v>7</v>
      </c>
      <c r="B8" s="5" t="s">
        <v>17</v>
      </c>
    </row>
    <row r="9" spans="1:4" ht="38.25">
      <c r="A9" s="4" t="s">
        <v>8</v>
      </c>
      <c r="B9" s="5" t="s">
        <v>18</v>
      </c>
    </row>
    <row r="10" spans="1:4">
      <c r="A10" s="4" t="s">
        <v>9</v>
      </c>
      <c r="B10" s="5" t="s">
        <v>19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8049-63BF-4DE8-8582-3F51250D9A76}">
  <sheetPr>
    <tabColor theme="6" tint="-0.249977111117893"/>
  </sheetPr>
  <dimension ref="A1:J13"/>
  <sheetViews>
    <sheetView zoomScale="117" zoomScaleNormal="160" workbookViewId="0">
      <selection activeCell="A5" sqref="A5"/>
    </sheetView>
  </sheetViews>
  <sheetFormatPr defaultRowHeight="16.5"/>
  <cols>
    <col min="1" max="1" width="37.75" bestFit="1" customWidth="1"/>
    <col min="6" max="6" width="9.75" customWidth="1"/>
    <col min="8" max="8" width="13.5" bestFit="1" customWidth="1"/>
    <col min="10" max="10" width="17.625" bestFit="1" customWidth="1"/>
  </cols>
  <sheetData>
    <row r="1" spans="1:10" ht="28.5">
      <c r="A1" s="6" t="s">
        <v>20</v>
      </c>
    </row>
    <row r="3" spans="1:10">
      <c r="A3" t="s">
        <v>23</v>
      </c>
      <c r="F3" s="7"/>
    </row>
    <row r="4" spans="1:10">
      <c r="A4" t="s">
        <v>24</v>
      </c>
    </row>
    <row r="5" spans="1:10">
      <c r="A5" t="s">
        <v>25</v>
      </c>
    </row>
    <row r="6" spans="1:10">
      <c r="A6" t="s">
        <v>26</v>
      </c>
      <c r="H6" s="12"/>
      <c r="J6" s="10"/>
    </row>
    <row r="7" spans="1:10">
      <c r="J7" s="11"/>
    </row>
    <row r="8" spans="1:10">
      <c r="J8" s="9"/>
    </row>
    <row r="10" spans="1:10">
      <c r="F10" s="8"/>
    </row>
    <row r="12" spans="1:10">
      <c r="H12" s="12"/>
    </row>
    <row r="13" spans="1:10">
      <c r="J1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6972-5E26-4889-9F4D-2B449A4F393E}">
  <sheetPr>
    <tabColor theme="6" tint="-0.249977111117893"/>
  </sheetPr>
  <dimension ref="B2:D41"/>
  <sheetViews>
    <sheetView topLeftCell="A31" workbookViewId="0">
      <selection activeCell="C43" sqref="C43"/>
    </sheetView>
  </sheetViews>
  <sheetFormatPr defaultRowHeight="16.5"/>
  <cols>
    <col min="2" max="2" width="18.875" bestFit="1" customWidth="1"/>
    <col min="3" max="3" width="88.25" customWidth="1"/>
    <col min="4" max="4" width="47.5" customWidth="1"/>
  </cols>
  <sheetData>
    <row r="2" spans="2:4">
      <c r="B2" s="2" t="s">
        <v>21</v>
      </c>
      <c r="C2" s="2" t="s">
        <v>27</v>
      </c>
      <c r="D2" s="2" t="s">
        <v>22</v>
      </c>
    </row>
    <row r="3" spans="2:4" ht="33">
      <c r="B3" t="s">
        <v>28</v>
      </c>
      <c r="C3" s="3" t="s">
        <v>36</v>
      </c>
      <c r="D3" s="13" t="s">
        <v>37</v>
      </c>
    </row>
    <row r="4" spans="2:4" ht="33">
      <c r="B4" t="s">
        <v>29</v>
      </c>
      <c r="C4" s="3" t="s">
        <v>38</v>
      </c>
      <c r="D4" s="3" t="s">
        <v>30</v>
      </c>
    </row>
    <row r="5" spans="2:4" ht="33">
      <c r="B5" t="s">
        <v>31</v>
      </c>
      <c r="C5" s="3" t="s">
        <v>39</v>
      </c>
      <c r="D5" s="13" t="s">
        <v>32</v>
      </c>
    </row>
    <row r="6" spans="2:4" ht="33">
      <c r="B6" t="s">
        <v>33</v>
      </c>
      <c r="C6" s="3" t="s">
        <v>40</v>
      </c>
      <c r="D6" s="3" t="s">
        <v>41</v>
      </c>
    </row>
    <row r="7" spans="2:4" ht="33">
      <c r="B7" t="s">
        <v>34</v>
      </c>
      <c r="C7" s="3" t="s">
        <v>42</v>
      </c>
      <c r="D7" s="3" t="s">
        <v>35</v>
      </c>
    </row>
    <row r="19" spans="2:4">
      <c r="B19" s="14" t="s">
        <v>21</v>
      </c>
      <c r="C19" s="14" t="s">
        <v>27</v>
      </c>
      <c r="D19" s="14" t="s">
        <v>22</v>
      </c>
    </row>
    <row r="20" spans="2:4" ht="33">
      <c r="B20" s="13" t="s">
        <v>43</v>
      </c>
      <c r="C20" s="13" t="s">
        <v>44</v>
      </c>
      <c r="D20" s="13" t="s">
        <v>45</v>
      </c>
    </row>
    <row r="21" spans="2:4" ht="33">
      <c r="B21" s="13" t="s">
        <v>46</v>
      </c>
      <c r="C21" s="13" t="s">
        <v>47</v>
      </c>
      <c r="D21" s="13" t="s">
        <v>48</v>
      </c>
    </row>
    <row r="22" spans="2:4" ht="33">
      <c r="B22" s="13" t="s">
        <v>49</v>
      </c>
      <c r="C22" s="13" t="s">
        <v>50</v>
      </c>
      <c r="D22" s="13" t="s">
        <v>51</v>
      </c>
    </row>
    <row r="23" spans="2:4" ht="33">
      <c r="B23" s="13" t="s">
        <v>52</v>
      </c>
      <c r="C23" s="13" t="s">
        <v>53</v>
      </c>
      <c r="D23" s="13" t="s">
        <v>54</v>
      </c>
    </row>
    <row r="24" spans="2:4" ht="49.5">
      <c r="B24" s="13" t="s">
        <v>55</v>
      </c>
      <c r="C24" s="13" t="s">
        <v>56</v>
      </c>
      <c r="D24" s="13" t="s">
        <v>57</v>
      </c>
    </row>
    <row r="35" spans="2:4">
      <c r="B35" s="14" t="s">
        <v>21</v>
      </c>
      <c r="C35" s="14" t="s">
        <v>58</v>
      </c>
      <c r="D35" s="14" t="s">
        <v>22</v>
      </c>
    </row>
    <row r="36" spans="2:4" ht="49.5">
      <c r="B36" s="13" t="s">
        <v>59</v>
      </c>
      <c r="C36" s="13" t="s">
        <v>74</v>
      </c>
      <c r="D36" s="13" t="s">
        <v>60</v>
      </c>
    </row>
    <row r="37" spans="2:4" ht="33">
      <c r="B37" s="13" t="s">
        <v>61</v>
      </c>
      <c r="C37" s="13" t="s">
        <v>62</v>
      </c>
      <c r="D37" s="13" t="s">
        <v>63</v>
      </c>
    </row>
    <row r="38" spans="2:4" ht="33">
      <c r="B38" s="13" t="s">
        <v>64</v>
      </c>
      <c r="C38" s="13" t="s">
        <v>65</v>
      </c>
      <c r="D38" s="13" t="s">
        <v>66</v>
      </c>
    </row>
    <row r="39" spans="2:4">
      <c r="B39" s="13" t="s">
        <v>67</v>
      </c>
      <c r="C39" s="13" t="s">
        <v>68</v>
      </c>
      <c r="D39" s="13" t="s">
        <v>75</v>
      </c>
    </row>
    <row r="40" spans="2:4">
      <c r="B40" s="13" t="s">
        <v>69</v>
      </c>
      <c r="C40" s="13" t="s">
        <v>70</v>
      </c>
      <c r="D40" s="13" t="s">
        <v>71</v>
      </c>
    </row>
    <row r="41" spans="2:4" ht="33">
      <c r="B41" s="13" t="s">
        <v>72</v>
      </c>
      <c r="C41" s="13" t="s">
        <v>76</v>
      </c>
      <c r="D41" s="13" t="s">
        <v>73</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F5E0-974B-4305-924C-021AE2883F3B}">
  <dimension ref="A1"/>
  <sheetViews>
    <sheetView zoomScale="145" zoomScaleNormal="145" workbookViewId="0">
      <selection activeCell="F14" sqref="F14"/>
    </sheetView>
  </sheetViews>
  <sheetFormatPr defaultRowHeight="16.5"/>
  <cols>
    <col min="1" max="1" width="13.5" bestFit="1" customWidth="1"/>
    <col min="2" max="2" width="16.75" bestFit="1" customWidth="1"/>
    <col min="3" max="4" width="8.375" bestFit="1" customWidth="1"/>
    <col min="5" max="5" width="9.5" bestFit="1" customWidth="1"/>
    <col min="6" max="6" width="12.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DE8E-0DB6-4D13-92EC-A2CF2E9B538B}">
  <dimension ref="A1:M121"/>
  <sheetViews>
    <sheetView zoomScale="115" zoomScaleNormal="115" workbookViewId="0">
      <selection activeCell="D13" sqref="A1:H121"/>
    </sheetView>
  </sheetViews>
  <sheetFormatPr defaultRowHeight="16.5"/>
  <cols>
    <col min="1" max="1" width="12.875" bestFit="1" customWidth="1"/>
    <col min="2" max="2" width="16.5" bestFit="1" customWidth="1"/>
    <col min="3" max="3" width="11.875" bestFit="1" customWidth="1"/>
    <col min="5" max="5" width="10.75" bestFit="1" customWidth="1"/>
  </cols>
  <sheetData>
    <row r="1" spans="1:13" ht="17.25" thickBot="1">
      <c r="A1" t="s">
        <v>120</v>
      </c>
      <c r="B1" t="s">
        <v>121</v>
      </c>
      <c r="C1" t="s">
        <v>78</v>
      </c>
      <c r="D1" t="s">
        <v>122</v>
      </c>
      <c r="E1" t="s">
        <v>123</v>
      </c>
      <c r="F1" t="s">
        <v>124</v>
      </c>
      <c r="G1" t="s">
        <v>89</v>
      </c>
      <c r="H1" t="s">
        <v>125</v>
      </c>
      <c r="J1" s="31" t="s">
        <v>558</v>
      </c>
      <c r="K1" s="31" t="s">
        <v>561</v>
      </c>
      <c r="M1" t="s">
        <v>379</v>
      </c>
    </row>
    <row r="2" spans="1:13" ht="33.75" thickBot="1">
      <c r="A2" t="s">
        <v>126</v>
      </c>
      <c r="B2" t="s">
        <v>127</v>
      </c>
      <c r="C2" t="s">
        <v>85</v>
      </c>
      <c r="D2" t="s">
        <v>128</v>
      </c>
      <c r="E2" t="s">
        <v>129</v>
      </c>
      <c r="F2" t="s">
        <v>130</v>
      </c>
      <c r="G2">
        <v>29928</v>
      </c>
      <c r="H2">
        <v>50000</v>
      </c>
      <c r="J2" s="31" t="s">
        <v>559</v>
      </c>
      <c r="K2" s="32" t="s">
        <v>562</v>
      </c>
      <c r="M2" t="s">
        <v>380</v>
      </c>
    </row>
    <row r="3" spans="1:13" ht="17.25" thickBot="1">
      <c r="A3" t="s">
        <v>131</v>
      </c>
      <c r="B3" t="s">
        <v>132</v>
      </c>
      <c r="C3" t="s">
        <v>89</v>
      </c>
      <c r="D3" t="s">
        <v>133</v>
      </c>
      <c r="E3" t="s">
        <v>134</v>
      </c>
      <c r="F3" t="s">
        <v>135</v>
      </c>
      <c r="G3">
        <v>36259</v>
      </c>
      <c r="H3">
        <v>40000</v>
      </c>
      <c r="J3" s="31"/>
      <c r="K3" s="31"/>
      <c r="M3" t="s">
        <v>381</v>
      </c>
    </row>
    <row r="4" spans="1:13" ht="17.25" thickBot="1">
      <c r="A4" t="s">
        <v>136</v>
      </c>
      <c r="B4" t="s">
        <v>137</v>
      </c>
      <c r="C4" t="s">
        <v>92</v>
      </c>
      <c r="D4" t="s">
        <v>128</v>
      </c>
      <c r="E4" t="s">
        <v>134</v>
      </c>
      <c r="F4" t="s">
        <v>130</v>
      </c>
      <c r="G4">
        <v>5386</v>
      </c>
      <c r="H4">
        <v>20000</v>
      </c>
      <c r="J4" s="32" t="s">
        <v>560</v>
      </c>
      <c r="K4" s="31"/>
      <c r="M4" t="s">
        <v>382</v>
      </c>
    </row>
    <row r="5" spans="1:13">
      <c r="A5" t="s">
        <v>138</v>
      </c>
      <c r="B5" t="s">
        <v>139</v>
      </c>
      <c r="C5" t="s">
        <v>92</v>
      </c>
      <c r="D5" t="s">
        <v>133</v>
      </c>
      <c r="E5" t="s">
        <v>140</v>
      </c>
      <c r="F5" t="s">
        <v>130</v>
      </c>
      <c r="G5">
        <v>28052</v>
      </c>
      <c r="H5">
        <v>30000</v>
      </c>
      <c r="M5" t="s">
        <v>383</v>
      </c>
    </row>
    <row r="6" spans="1:13">
      <c r="A6" t="s">
        <v>141</v>
      </c>
      <c r="B6" t="s">
        <v>142</v>
      </c>
      <c r="C6" t="s">
        <v>85</v>
      </c>
      <c r="D6" t="s">
        <v>143</v>
      </c>
      <c r="E6" t="s">
        <v>144</v>
      </c>
      <c r="F6" t="s">
        <v>135</v>
      </c>
      <c r="G6">
        <v>24569</v>
      </c>
      <c r="H6">
        <v>20000</v>
      </c>
      <c r="M6" t="s">
        <v>384</v>
      </c>
    </row>
    <row r="7" spans="1:13">
      <c r="A7" t="s">
        <v>145</v>
      </c>
      <c r="B7" t="s">
        <v>146</v>
      </c>
      <c r="C7" t="s">
        <v>85</v>
      </c>
      <c r="D7" t="s">
        <v>147</v>
      </c>
      <c r="E7" t="s">
        <v>134</v>
      </c>
      <c r="F7" t="s">
        <v>130</v>
      </c>
      <c r="G7">
        <v>30558</v>
      </c>
      <c r="H7">
        <v>40000</v>
      </c>
      <c r="M7" t="s">
        <v>385</v>
      </c>
    </row>
    <row r="8" spans="1:13">
      <c r="A8" t="s">
        <v>148</v>
      </c>
      <c r="B8" t="s">
        <v>149</v>
      </c>
      <c r="C8" t="s">
        <v>94</v>
      </c>
      <c r="D8" t="s">
        <v>143</v>
      </c>
      <c r="E8" t="s">
        <v>144</v>
      </c>
      <c r="F8" t="s">
        <v>135</v>
      </c>
      <c r="G8">
        <v>32460</v>
      </c>
      <c r="H8">
        <v>40000</v>
      </c>
      <c r="M8" t="s">
        <v>386</v>
      </c>
    </row>
    <row r="9" spans="1:13">
      <c r="A9" t="s">
        <v>150</v>
      </c>
      <c r="B9" t="s">
        <v>151</v>
      </c>
      <c r="C9" t="s">
        <v>89</v>
      </c>
      <c r="D9" t="s">
        <v>128</v>
      </c>
      <c r="E9" t="s">
        <v>129</v>
      </c>
      <c r="F9" t="s">
        <v>130</v>
      </c>
      <c r="G9">
        <v>40272</v>
      </c>
      <c r="H9">
        <v>40000</v>
      </c>
      <c r="M9" t="s">
        <v>387</v>
      </c>
    </row>
    <row r="10" spans="1:13">
      <c r="A10" t="s">
        <v>152</v>
      </c>
      <c r="B10" t="s">
        <v>153</v>
      </c>
      <c r="C10" t="s">
        <v>154</v>
      </c>
      <c r="D10" t="s">
        <v>128</v>
      </c>
      <c r="E10" t="s">
        <v>134</v>
      </c>
      <c r="F10" t="s">
        <v>155</v>
      </c>
      <c r="G10">
        <v>40791</v>
      </c>
      <c r="H10">
        <v>30000</v>
      </c>
      <c r="M10" t="s">
        <v>388</v>
      </c>
    </row>
    <row r="11" spans="1:13">
      <c r="A11" t="s">
        <v>156</v>
      </c>
      <c r="B11" t="s">
        <v>157</v>
      </c>
      <c r="C11" t="s">
        <v>89</v>
      </c>
      <c r="D11" t="s">
        <v>128</v>
      </c>
      <c r="E11" t="s">
        <v>129</v>
      </c>
      <c r="F11" t="s">
        <v>158</v>
      </c>
      <c r="G11">
        <v>44534</v>
      </c>
      <c r="H11">
        <v>40000</v>
      </c>
      <c r="M11" t="s">
        <v>389</v>
      </c>
    </row>
    <row r="12" spans="1:13">
      <c r="A12" t="s">
        <v>159</v>
      </c>
      <c r="B12" t="s">
        <v>160</v>
      </c>
      <c r="C12" t="s">
        <v>92</v>
      </c>
      <c r="D12" t="s">
        <v>147</v>
      </c>
      <c r="E12" t="s">
        <v>129</v>
      </c>
      <c r="F12" t="s">
        <v>130</v>
      </c>
      <c r="G12">
        <v>19453</v>
      </c>
      <c r="H12">
        <v>40000</v>
      </c>
      <c r="M12" t="s">
        <v>390</v>
      </c>
    </row>
    <row r="13" spans="1:13">
      <c r="A13" t="s">
        <v>161</v>
      </c>
      <c r="B13" t="s">
        <v>162</v>
      </c>
      <c r="C13" t="s">
        <v>154</v>
      </c>
      <c r="D13" t="s">
        <v>143</v>
      </c>
      <c r="E13" t="s">
        <v>140</v>
      </c>
      <c r="F13" t="s">
        <v>130</v>
      </c>
      <c r="G13">
        <v>36996</v>
      </c>
      <c r="H13">
        <v>30000</v>
      </c>
      <c r="M13" t="s">
        <v>391</v>
      </c>
    </row>
    <row r="14" spans="1:13">
      <c r="A14" t="s">
        <v>163</v>
      </c>
      <c r="B14" t="s">
        <v>164</v>
      </c>
      <c r="C14" t="s">
        <v>89</v>
      </c>
      <c r="D14" t="s">
        <v>128</v>
      </c>
      <c r="E14" t="s">
        <v>144</v>
      </c>
      <c r="F14" t="s">
        <v>130</v>
      </c>
      <c r="G14">
        <v>19380</v>
      </c>
      <c r="H14">
        <v>30000</v>
      </c>
      <c r="M14" t="s">
        <v>392</v>
      </c>
    </row>
    <row r="15" spans="1:13">
      <c r="A15" t="s">
        <v>165</v>
      </c>
      <c r="B15" t="s">
        <v>166</v>
      </c>
      <c r="C15" t="s">
        <v>89</v>
      </c>
      <c r="D15" t="s">
        <v>128</v>
      </c>
      <c r="E15" t="s">
        <v>129</v>
      </c>
      <c r="F15" t="s">
        <v>130</v>
      </c>
      <c r="G15">
        <v>22887</v>
      </c>
      <c r="H15">
        <v>30000</v>
      </c>
      <c r="M15" t="s">
        <v>393</v>
      </c>
    </row>
    <row r="16" spans="1:13">
      <c r="A16" t="s">
        <v>167</v>
      </c>
      <c r="B16" t="s">
        <v>168</v>
      </c>
      <c r="C16" t="s">
        <v>85</v>
      </c>
      <c r="D16" t="s">
        <v>143</v>
      </c>
      <c r="E16" t="s">
        <v>140</v>
      </c>
      <c r="F16" t="s">
        <v>135</v>
      </c>
      <c r="G16">
        <v>33562</v>
      </c>
      <c r="H16">
        <v>40000</v>
      </c>
      <c r="M16" t="s">
        <v>394</v>
      </c>
    </row>
    <row r="17" spans="1:13">
      <c r="A17" t="s">
        <v>169</v>
      </c>
      <c r="B17" t="s">
        <v>170</v>
      </c>
      <c r="C17" t="s">
        <v>154</v>
      </c>
      <c r="D17" t="s">
        <v>147</v>
      </c>
      <c r="E17" t="s">
        <v>140</v>
      </c>
      <c r="F17" t="s">
        <v>155</v>
      </c>
      <c r="G17">
        <v>36827</v>
      </c>
      <c r="H17">
        <v>40000</v>
      </c>
      <c r="M17" t="s">
        <v>395</v>
      </c>
    </row>
    <row r="18" spans="1:13">
      <c r="A18" t="s">
        <v>171</v>
      </c>
      <c r="B18" t="s">
        <v>172</v>
      </c>
      <c r="C18" t="s">
        <v>92</v>
      </c>
      <c r="D18" t="s">
        <v>143</v>
      </c>
      <c r="E18" t="s">
        <v>144</v>
      </c>
      <c r="F18" t="s">
        <v>130</v>
      </c>
      <c r="G18">
        <v>6902</v>
      </c>
      <c r="H18">
        <v>30000</v>
      </c>
      <c r="M18" t="s">
        <v>396</v>
      </c>
    </row>
    <row r="19" spans="1:13">
      <c r="A19" t="s">
        <v>173</v>
      </c>
      <c r="B19" t="s">
        <v>174</v>
      </c>
      <c r="C19" t="s">
        <v>154</v>
      </c>
      <c r="D19" t="s">
        <v>128</v>
      </c>
      <c r="E19" t="s">
        <v>144</v>
      </c>
      <c r="F19" t="s">
        <v>135</v>
      </c>
      <c r="G19">
        <v>30484</v>
      </c>
      <c r="H19">
        <v>30000</v>
      </c>
      <c r="M19" t="s">
        <v>397</v>
      </c>
    </row>
    <row r="20" spans="1:13">
      <c r="A20" t="s">
        <v>175</v>
      </c>
      <c r="B20" t="s">
        <v>176</v>
      </c>
      <c r="C20" t="s">
        <v>94</v>
      </c>
      <c r="D20" t="s">
        <v>128</v>
      </c>
      <c r="E20" t="s">
        <v>129</v>
      </c>
      <c r="F20" t="s">
        <v>135</v>
      </c>
      <c r="G20">
        <v>27028</v>
      </c>
      <c r="H20">
        <v>20000</v>
      </c>
      <c r="M20" t="s">
        <v>398</v>
      </c>
    </row>
    <row r="21" spans="1:13">
      <c r="A21" t="s">
        <v>177</v>
      </c>
      <c r="B21" t="s">
        <v>178</v>
      </c>
      <c r="C21" t="s">
        <v>89</v>
      </c>
      <c r="D21" t="s">
        <v>143</v>
      </c>
      <c r="E21" t="s">
        <v>140</v>
      </c>
      <c r="F21" t="s">
        <v>158</v>
      </c>
      <c r="G21">
        <v>48835</v>
      </c>
      <c r="H21">
        <v>20000</v>
      </c>
      <c r="M21" t="s">
        <v>399</v>
      </c>
    </row>
    <row r="22" spans="1:13">
      <c r="A22" t="s">
        <v>179</v>
      </c>
      <c r="B22" t="s">
        <v>180</v>
      </c>
      <c r="C22" t="s">
        <v>94</v>
      </c>
      <c r="D22" t="s">
        <v>147</v>
      </c>
      <c r="E22" t="s">
        <v>140</v>
      </c>
      <c r="F22" t="s">
        <v>130</v>
      </c>
      <c r="G22">
        <v>49508</v>
      </c>
      <c r="H22">
        <v>30000</v>
      </c>
    </row>
    <row r="23" spans="1:13">
      <c r="A23" t="s">
        <v>181</v>
      </c>
      <c r="B23" t="s">
        <v>182</v>
      </c>
      <c r="C23" t="s">
        <v>85</v>
      </c>
      <c r="D23" t="s">
        <v>133</v>
      </c>
      <c r="E23" t="s">
        <v>140</v>
      </c>
      <c r="F23" t="s">
        <v>135</v>
      </c>
      <c r="G23">
        <v>31497</v>
      </c>
      <c r="H23">
        <v>30000</v>
      </c>
    </row>
    <row r="24" spans="1:13">
      <c r="A24" t="s">
        <v>183</v>
      </c>
      <c r="B24" t="s">
        <v>184</v>
      </c>
      <c r="C24" t="s">
        <v>92</v>
      </c>
      <c r="D24" t="s">
        <v>147</v>
      </c>
      <c r="E24" t="s">
        <v>129</v>
      </c>
      <c r="F24" t="s">
        <v>135</v>
      </c>
      <c r="G24">
        <v>15816</v>
      </c>
      <c r="H24">
        <v>20000</v>
      </c>
    </row>
    <row r="25" spans="1:13">
      <c r="A25" t="s">
        <v>185</v>
      </c>
      <c r="B25" t="s">
        <v>186</v>
      </c>
      <c r="C25" t="s">
        <v>89</v>
      </c>
      <c r="D25" t="s">
        <v>128</v>
      </c>
      <c r="E25" t="s">
        <v>144</v>
      </c>
      <c r="F25" t="s">
        <v>135</v>
      </c>
      <c r="G25">
        <v>35630</v>
      </c>
      <c r="H25">
        <v>30000</v>
      </c>
    </row>
    <row r="26" spans="1:13">
      <c r="A26" t="s">
        <v>187</v>
      </c>
      <c r="B26" t="s">
        <v>188</v>
      </c>
      <c r="C26" t="s">
        <v>94</v>
      </c>
      <c r="D26" t="s">
        <v>147</v>
      </c>
      <c r="E26" t="s">
        <v>140</v>
      </c>
      <c r="F26" t="s">
        <v>135</v>
      </c>
      <c r="G26">
        <v>13364</v>
      </c>
      <c r="H26">
        <v>40000</v>
      </c>
    </row>
    <row r="27" spans="1:13">
      <c r="A27" t="s">
        <v>189</v>
      </c>
      <c r="B27" t="s">
        <v>190</v>
      </c>
      <c r="C27" t="s">
        <v>92</v>
      </c>
      <c r="D27" t="s">
        <v>143</v>
      </c>
      <c r="E27" t="s">
        <v>134</v>
      </c>
      <c r="F27" t="s">
        <v>135</v>
      </c>
      <c r="G27">
        <v>45780</v>
      </c>
      <c r="H27">
        <v>40000</v>
      </c>
    </row>
    <row r="28" spans="1:13">
      <c r="A28" t="s">
        <v>191</v>
      </c>
      <c r="B28" t="s">
        <v>192</v>
      </c>
      <c r="C28" t="s">
        <v>89</v>
      </c>
      <c r="D28" t="s">
        <v>133</v>
      </c>
      <c r="E28" t="s">
        <v>134</v>
      </c>
      <c r="F28" t="s">
        <v>155</v>
      </c>
      <c r="G28">
        <v>40004</v>
      </c>
      <c r="H28">
        <v>40000</v>
      </c>
    </row>
    <row r="29" spans="1:13">
      <c r="A29" t="s">
        <v>193</v>
      </c>
      <c r="B29" t="s">
        <v>194</v>
      </c>
      <c r="C29" t="s">
        <v>89</v>
      </c>
      <c r="D29" t="s">
        <v>133</v>
      </c>
      <c r="E29" t="s">
        <v>140</v>
      </c>
      <c r="F29" t="s">
        <v>135</v>
      </c>
      <c r="G29">
        <v>6767</v>
      </c>
      <c r="H29">
        <v>30000</v>
      </c>
    </row>
    <row r="30" spans="1:13">
      <c r="A30" t="s">
        <v>195</v>
      </c>
      <c r="B30" t="s">
        <v>196</v>
      </c>
      <c r="C30" t="s">
        <v>94</v>
      </c>
      <c r="D30" t="s">
        <v>143</v>
      </c>
      <c r="E30" t="s">
        <v>134</v>
      </c>
      <c r="F30" t="s">
        <v>158</v>
      </c>
      <c r="G30">
        <v>30822</v>
      </c>
      <c r="H30">
        <v>30000</v>
      </c>
    </row>
    <row r="31" spans="1:13">
      <c r="A31" t="s">
        <v>197</v>
      </c>
      <c r="B31" t="s">
        <v>198</v>
      </c>
      <c r="C31" t="s">
        <v>85</v>
      </c>
      <c r="D31" t="s">
        <v>147</v>
      </c>
      <c r="E31" t="s">
        <v>144</v>
      </c>
      <c r="F31" t="s">
        <v>130</v>
      </c>
      <c r="G31">
        <v>43790</v>
      </c>
      <c r="H31">
        <v>20000</v>
      </c>
    </row>
    <row r="32" spans="1:13">
      <c r="A32" t="s">
        <v>199</v>
      </c>
      <c r="B32" t="s">
        <v>200</v>
      </c>
      <c r="C32" t="s">
        <v>94</v>
      </c>
      <c r="D32" t="s">
        <v>128</v>
      </c>
      <c r="E32" t="s">
        <v>140</v>
      </c>
      <c r="F32" t="s">
        <v>158</v>
      </c>
      <c r="G32">
        <v>41987</v>
      </c>
      <c r="H32">
        <v>30000</v>
      </c>
    </row>
    <row r="33" spans="1:8">
      <c r="A33" t="s">
        <v>201</v>
      </c>
      <c r="B33" t="s">
        <v>202</v>
      </c>
      <c r="C33" t="s">
        <v>85</v>
      </c>
      <c r="D33" t="s">
        <v>133</v>
      </c>
      <c r="E33" t="s">
        <v>129</v>
      </c>
      <c r="F33" t="s">
        <v>130</v>
      </c>
      <c r="G33">
        <v>48450</v>
      </c>
      <c r="H33">
        <v>30000</v>
      </c>
    </row>
    <row r="34" spans="1:8">
      <c r="A34" t="s">
        <v>203</v>
      </c>
      <c r="B34" t="s">
        <v>204</v>
      </c>
      <c r="C34" t="s">
        <v>154</v>
      </c>
      <c r="D34" t="s">
        <v>147</v>
      </c>
      <c r="E34" t="s">
        <v>134</v>
      </c>
      <c r="F34" t="s">
        <v>135</v>
      </c>
      <c r="G34">
        <v>6776</v>
      </c>
      <c r="H34">
        <v>20000</v>
      </c>
    </row>
    <row r="35" spans="1:8">
      <c r="A35" t="s">
        <v>205</v>
      </c>
      <c r="B35" t="s">
        <v>206</v>
      </c>
      <c r="C35" t="s">
        <v>94</v>
      </c>
      <c r="D35" t="s">
        <v>133</v>
      </c>
      <c r="E35" t="s">
        <v>140</v>
      </c>
      <c r="F35" t="s">
        <v>130</v>
      </c>
      <c r="G35">
        <v>10501</v>
      </c>
      <c r="H35">
        <v>30000</v>
      </c>
    </row>
    <row r="36" spans="1:8">
      <c r="A36" t="s">
        <v>207</v>
      </c>
      <c r="B36" t="s">
        <v>208</v>
      </c>
      <c r="C36" t="s">
        <v>92</v>
      </c>
      <c r="D36" t="s">
        <v>143</v>
      </c>
      <c r="E36" t="s">
        <v>144</v>
      </c>
      <c r="F36" t="s">
        <v>155</v>
      </c>
      <c r="G36">
        <v>47123</v>
      </c>
      <c r="H36">
        <v>20000</v>
      </c>
    </row>
    <row r="37" spans="1:8">
      <c r="A37" t="s">
        <v>209</v>
      </c>
      <c r="B37" t="s">
        <v>210</v>
      </c>
      <c r="C37" t="s">
        <v>154</v>
      </c>
      <c r="D37" t="s">
        <v>143</v>
      </c>
      <c r="E37" t="s">
        <v>144</v>
      </c>
      <c r="F37" t="s">
        <v>135</v>
      </c>
      <c r="G37">
        <v>33089</v>
      </c>
      <c r="H37">
        <v>30000</v>
      </c>
    </row>
    <row r="38" spans="1:8">
      <c r="A38" t="s">
        <v>211</v>
      </c>
      <c r="B38" t="s">
        <v>212</v>
      </c>
      <c r="C38" t="s">
        <v>94</v>
      </c>
      <c r="D38" t="s">
        <v>147</v>
      </c>
      <c r="E38" t="s">
        <v>144</v>
      </c>
      <c r="F38" t="s">
        <v>135</v>
      </c>
      <c r="G38">
        <v>13893</v>
      </c>
      <c r="H38">
        <v>30000</v>
      </c>
    </row>
    <row r="39" spans="1:8">
      <c r="A39" t="s">
        <v>213</v>
      </c>
      <c r="B39" t="s">
        <v>214</v>
      </c>
      <c r="C39" t="s">
        <v>85</v>
      </c>
      <c r="D39" t="s">
        <v>133</v>
      </c>
      <c r="E39" t="s">
        <v>134</v>
      </c>
      <c r="F39" t="s">
        <v>130</v>
      </c>
      <c r="G39">
        <v>35257</v>
      </c>
      <c r="H39">
        <v>30000</v>
      </c>
    </row>
    <row r="40" spans="1:8">
      <c r="A40" t="s">
        <v>215</v>
      </c>
      <c r="B40" t="s">
        <v>216</v>
      </c>
      <c r="C40" t="s">
        <v>94</v>
      </c>
      <c r="D40" t="s">
        <v>143</v>
      </c>
      <c r="E40" t="s">
        <v>129</v>
      </c>
      <c r="F40" t="s">
        <v>130</v>
      </c>
      <c r="G40">
        <v>16909</v>
      </c>
      <c r="H40">
        <v>30000</v>
      </c>
    </row>
    <row r="41" spans="1:8">
      <c r="A41" t="s">
        <v>217</v>
      </c>
      <c r="B41" t="s">
        <v>218</v>
      </c>
      <c r="C41" t="s">
        <v>154</v>
      </c>
      <c r="D41" t="s">
        <v>143</v>
      </c>
      <c r="E41" t="s">
        <v>134</v>
      </c>
      <c r="F41" t="s">
        <v>135</v>
      </c>
      <c r="G41">
        <v>8295</v>
      </c>
      <c r="H41">
        <v>40000</v>
      </c>
    </row>
    <row r="42" spans="1:8">
      <c r="A42" t="s">
        <v>219</v>
      </c>
      <c r="B42" t="s">
        <v>220</v>
      </c>
      <c r="C42" t="s">
        <v>85</v>
      </c>
      <c r="D42" t="s">
        <v>143</v>
      </c>
      <c r="E42" t="s">
        <v>134</v>
      </c>
      <c r="F42" t="s">
        <v>135</v>
      </c>
      <c r="G42">
        <v>22049</v>
      </c>
      <c r="H42">
        <v>40000</v>
      </c>
    </row>
    <row r="43" spans="1:8">
      <c r="A43" t="s">
        <v>221</v>
      </c>
      <c r="B43" t="s">
        <v>222</v>
      </c>
      <c r="C43" t="s">
        <v>89</v>
      </c>
      <c r="D43" t="s">
        <v>133</v>
      </c>
      <c r="E43" t="s">
        <v>144</v>
      </c>
      <c r="F43" t="s">
        <v>155</v>
      </c>
      <c r="G43">
        <v>29844</v>
      </c>
      <c r="H43">
        <v>30000</v>
      </c>
    </row>
    <row r="44" spans="1:8">
      <c r="A44" t="s">
        <v>223</v>
      </c>
      <c r="B44" t="s">
        <v>224</v>
      </c>
      <c r="C44" t="s">
        <v>92</v>
      </c>
      <c r="D44" t="s">
        <v>143</v>
      </c>
      <c r="E44" t="s">
        <v>134</v>
      </c>
      <c r="F44" t="s">
        <v>135</v>
      </c>
      <c r="G44">
        <v>26453</v>
      </c>
      <c r="H44">
        <v>40000</v>
      </c>
    </row>
    <row r="45" spans="1:8">
      <c r="A45" t="s">
        <v>225</v>
      </c>
      <c r="B45" t="s">
        <v>226</v>
      </c>
      <c r="C45" t="s">
        <v>92</v>
      </c>
      <c r="D45" t="s">
        <v>128</v>
      </c>
      <c r="E45" t="s">
        <v>129</v>
      </c>
      <c r="F45" t="s">
        <v>158</v>
      </c>
      <c r="G45">
        <v>18871</v>
      </c>
      <c r="H45">
        <v>20000</v>
      </c>
    </row>
    <row r="46" spans="1:8">
      <c r="A46" t="s">
        <v>227</v>
      </c>
      <c r="B46" t="s">
        <v>228</v>
      </c>
      <c r="C46" t="s">
        <v>89</v>
      </c>
      <c r="D46" t="s">
        <v>128</v>
      </c>
      <c r="E46" t="s">
        <v>129</v>
      </c>
      <c r="F46" t="s">
        <v>158</v>
      </c>
      <c r="G46">
        <v>34799</v>
      </c>
      <c r="H46">
        <v>40000</v>
      </c>
    </row>
    <row r="47" spans="1:8">
      <c r="A47" t="s">
        <v>229</v>
      </c>
      <c r="B47" t="s">
        <v>230</v>
      </c>
      <c r="C47" t="s">
        <v>92</v>
      </c>
      <c r="D47" t="s">
        <v>143</v>
      </c>
      <c r="E47" t="s">
        <v>140</v>
      </c>
      <c r="F47" t="s">
        <v>155</v>
      </c>
      <c r="G47">
        <v>26420</v>
      </c>
      <c r="H47">
        <v>20000</v>
      </c>
    </row>
    <row r="48" spans="1:8">
      <c r="A48" t="s">
        <v>231</v>
      </c>
      <c r="B48" t="s">
        <v>232</v>
      </c>
      <c r="C48" t="s">
        <v>89</v>
      </c>
      <c r="D48" t="s">
        <v>143</v>
      </c>
      <c r="E48" t="s">
        <v>140</v>
      </c>
      <c r="F48" t="s">
        <v>155</v>
      </c>
      <c r="G48">
        <v>27118</v>
      </c>
      <c r="H48">
        <v>20000</v>
      </c>
    </row>
    <row r="49" spans="1:8">
      <c r="A49" t="s">
        <v>233</v>
      </c>
      <c r="B49" t="s">
        <v>234</v>
      </c>
      <c r="C49" t="s">
        <v>92</v>
      </c>
      <c r="D49" t="s">
        <v>133</v>
      </c>
      <c r="E49" t="s">
        <v>144</v>
      </c>
      <c r="F49" t="s">
        <v>130</v>
      </c>
      <c r="G49">
        <v>29846</v>
      </c>
      <c r="H49">
        <v>20000</v>
      </c>
    </row>
    <row r="50" spans="1:8">
      <c r="A50" t="s">
        <v>235</v>
      </c>
      <c r="B50" t="s">
        <v>236</v>
      </c>
      <c r="C50" t="s">
        <v>85</v>
      </c>
      <c r="D50" t="s">
        <v>143</v>
      </c>
      <c r="E50" t="s">
        <v>129</v>
      </c>
      <c r="F50" t="s">
        <v>130</v>
      </c>
      <c r="G50">
        <v>23235</v>
      </c>
      <c r="H50">
        <v>40000</v>
      </c>
    </row>
    <row r="51" spans="1:8">
      <c r="A51" t="s">
        <v>237</v>
      </c>
      <c r="B51" t="s">
        <v>238</v>
      </c>
      <c r="C51" t="s">
        <v>92</v>
      </c>
      <c r="D51" t="s">
        <v>143</v>
      </c>
      <c r="E51" t="s">
        <v>129</v>
      </c>
      <c r="F51" t="s">
        <v>135</v>
      </c>
      <c r="G51">
        <v>32627</v>
      </c>
      <c r="H51">
        <v>30000</v>
      </c>
    </row>
    <row r="52" spans="1:8">
      <c r="A52" t="s">
        <v>239</v>
      </c>
      <c r="B52" t="s">
        <v>240</v>
      </c>
      <c r="C52" t="s">
        <v>92</v>
      </c>
      <c r="D52" t="s">
        <v>128</v>
      </c>
      <c r="E52" t="s">
        <v>144</v>
      </c>
      <c r="F52" t="s">
        <v>158</v>
      </c>
      <c r="G52">
        <v>21532</v>
      </c>
      <c r="H52">
        <v>30000</v>
      </c>
    </row>
    <row r="53" spans="1:8">
      <c r="A53" t="s">
        <v>241</v>
      </c>
      <c r="B53" t="s">
        <v>242</v>
      </c>
      <c r="C53" t="s">
        <v>92</v>
      </c>
      <c r="D53" t="s">
        <v>133</v>
      </c>
      <c r="E53" t="s">
        <v>140</v>
      </c>
      <c r="F53" t="s">
        <v>158</v>
      </c>
      <c r="G53">
        <v>10367</v>
      </c>
      <c r="H53">
        <v>40000</v>
      </c>
    </row>
    <row r="54" spans="1:8">
      <c r="A54" t="s">
        <v>243</v>
      </c>
      <c r="B54" t="s">
        <v>244</v>
      </c>
      <c r="C54" t="s">
        <v>92</v>
      </c>
      <c r="D54" t="s">
        <v>147</v>
      </c>
      <c r="E54" t="s">
        <v>134</v>
      </c>
      <c r="F54" t="s">
        <v>130</v>
      </c>
      <c r="G54">
        <v>35822</v>
      </c>
      <c r="H54">
        <v>20000</v>
      </c>
    </row>
    <row r="55" spans="1:8">
      <c r="A55" t="s">
        <v>245</v>
      </c>
      <c r="B55" t="s">
        <v>246</v>
      </c>
      <c r="C55" t="s">
        <v>94</v>
      </c>
      <c r="D55" t="s">
        <v>128</v>
      </c>
      <c r="E55" t="s">
        <v>129</v>
      </c>
      <c r="F55" t="s">
        <v>155</v>
      </c>
      <c r="G55">
        <v>6270</v>
      </c>
      <c r="H55">
        <v>40000</v>
      </c>
    </row>
    <row r="56" spans="1:8">
      <c r="A56" t="s">
        <v>247</v>
      </c>
      <c r="B56" t="s">
        <v>248</v>
      </c>
      <c r="C56" t="s">
        <v>85</v>
      </c>
      <c r="D56" t="s">
        <v>128</v>
      </c>
      <c r="E56" t="s">
        <v>134</v>
      </c>
      <c r="F56" t="s">
        <v>155</v>
      </c>
      <c r="G56">
        <v>40351</v>
      </c>
      <c r="H56">
        <v>30000</v>
      </c>
    </row>
    <row r="57" spans="1:8">
      <c r="A57" t="s">
        <v>249</v>
      </c>
      <c r="B57" t="s">
        <v>250</v>
      </c>
      <c r="C57" t="s">
        <v>85</v>
      </c>
      <c r="D57" t="s">
        <v>143</v>
      </c>
      <c r="E57" t="s">
        <v>134</v>
      </c>
      <c r="F57" t="s">
        <v>155</v>
      </c>
      <c r="G57">
        <v>8413</v>
      </c>
      <c r="H57">
        <v>40000</v>
      </c>
    </row>
    <row r="58" spans="1:8">
      <c r="A58" t="s">
        <v>251</v>
      </c>
      <c r="B58" t="s">
        <v>252</v>
      </c>
      <c r="C58" t="s">
        <v>89</v>
      </c>
      <c r="D58" t="s">
        <v>143</v>
      </c>
      <c r="E58" t="s">
        <v>129</v>
      </c>
      <c r="F58" t="s">
        <v>155</v>
      </c>
      <c r="G58">
        <v>27935</v>
      </c>
      <c r="H58">
        <v>40000</v>
      </c>
    </row>
    <row r="59" spans="1:8">
      <c r="A59" t="s">
        <v>253</v>
      </c>
      <c r="B59" t="s">
        <v>254</v>
      </c>
      <c r="C59" t="s">
        <v>85</v>
      </c>
      <c r="D59" t="s">
        <v>147</v>
      </c>
      <c r="E59" t="s">
        <v>144</v>
      </c>
      <c r="F59" t="s">
        <v>135</v>
      </c>
      <c r="G59">
        <v>19694</v>
      </c>
      <c r="H59">
        <v>30000</v>
      </c>
    </row>
    <row r="60" spans="1:8">
      <c r="A60" t="s">
        <v>255</v>
      </c>
      <c r="B60" t="s">
        <v>256</v>
      </c>
      <c r="C60" t="s">
        <v>89</v>
      </c>
      <c r="D60" t="s">
        <v>147</v>
      </c>
      <c r="E60" t="s">
        <v>144</v>
      </c>
      <c r="F60" t="s">
        <v>158</v>
      </c>
      <c r="G60">
        <v>47607</v>
      </c>
      <c r="H60">
        <v>30000</v>
      </c>
    </row>
    <row r="61" spans="1:8">
      <c r="A61" t="s">
        <v>257</v>
      </c>
      <c r="B61" t="s">
        <v>258</v>
      </c>
      <c r="C61" t="s">
        <v>92</v>
      </c>
      <c r="D61" t="s">
        <v>147</v>
      </c>
      <c r="E61" t="s">
        <v>140</v>
      </c>
      <c r="F61" t="s">
        <v>155</v>
      </c>
      <c r="G61">
        <v>9496</v>
      </c>
      <c r="H61">
        <v>20000</v>
      </c>
    </row>
    <row r="62" spans="1:8">
      <c r="A62" t="s">
        <v>259</v>
      </c>
      <c r="B62" t="s">
        <v>260</v>
      </c>
      <c r="C62" t="s">
        <v>94</v>
      </c>
      <c r="D62" t="s">
        <v>133</v>
      </c>
      <c r="E62" t="s">
        <v>140</v>
      </c>
      <c r="F62" t="s">
        <v>135</v>
      </c>
      <c r="G62">
        <v>47713</v>
      </c>
      <c r="H62">
        <v>20000</v>
      </c>
    </row>
    <row r="63" spans="1:8">
      <c r="A63" t="s">
        <v>261</v>
      </c>
      <c r="B63" t="s">
        <v>262</v>
      </c>
      <c r="C63" t="s">
        <v>85</v>
      </c>
      <c r="D63" t="s">
        <v>133</v>
      </c>
      <c r="E63" t="s">
        <v>134</v>
      </c>
      <c r="F63" t="s">
        <v>130</v>
      </c>
      <c r="G63">
        <v>7638</v>
      </c>
      <c r="H63">
        <v>30000</v>
      </c>
    </row>
    <row r="64" spans="1:8">
      <c r="A64" t="s">
        <v>263</v>
      </c>
      <c r="B64" t="s">
        <v>264</v>
      </c>
      <c r="C64" t="s">
        <v>154</v>
      </c>
      <c r="D64" t="s">
        <v>128</v>
      </c>
      <c r="E64" t="s">
        <v>140</v>
      </c>
      <c r="F64" t="s">
        <v>155</v>
      </c>
      <c r="G64">
        <v>7033</v>
      </c>
      <c r="H64">
        <v>20000</v>
      </c>
    </row>
    <row r="65" spans="1:8">
      <c r="A65" t="s">
        <v>265</v>
      </c>
      <c r="B65" t="s">
        <v>266</v>
      </c>
      <c r="C65" t="s">
        <v>85</v>
      </c>
      <c r="D65" t="s">
        <v>143</v>
      </c>
      <c r="E65" t="s">
        <v>134</v>
      </c>
      <c r="F65" t="s">
        <v>130</v>
      </c>
      <c r="G65">
        <v>21205</v>
      </c>
      <c r="H65">
        <v>30000</v>
      </c>
    </row>
    <row r="66" spans="1:8">
      <c r="A66" t="s">
        <v>267</v>
      </c>
      <c r="B66" t="s">
        <v>268</v>
      </c>
      <c r="C66" t="s">
        <v>94</v>
      </c>
      <c r="D66" t="s">
        <v>147</v>
      </c>
      <c r="E66" t="s">
        <v>144</v>
      </c>
      <c r="F66" t="s">
        <v>135</v>
      </c>
      <c r="G66">
        <v>18065</v>
      </c>
      <c r="H66">
        <v>40000</v>
      </c>
    </row>
    <row r="67" spans="1:8">
      <c r="A67" t="s">
        <v>269</v>
      </c>
      <c r="B67" t="s">
        <v>270</v>
      </c>
      <c r="C67" t="s">
        <v>85</v>
      </c>
      <c r="D67" t="s">
        <v>147</v>
      </c>
      <c r="E67" t="s">
        <v>144</v>
      </c>
      <c r="F67" t="s">
        <v>155</v>
      </c>
      <c r="G67">
        <v>6335</v>
      </c>
      <c r="H67">
        <v>20000</v>
      </c>
    </row>
    <row r="68" spans="1:8">
      <c r="A68" t="s">
        <v>271</v>
      </c>
      <c r="B68" t="s">
        <v>272</v>
      </c>
      <c r="C68" t="s">
        <v>92</v>
      </c>
      <c r="D68" t="s">
        <v>128</v>
      </c>
      <c r="E68" t="s">
        <v>129</v>
      </c>
      <c r="F68" t="s">
        <v>130</v>
      </c>
      <c r="G68">
        <v>45719</v>
      </c>
      <c r="H68">
        <v>30000</v>
      </c>
    </row>
    <row r="69" spans="1:8">
      <c r="A69" t="s">
        <v>273</v>
      </c>
      <c r="B69" t="s">
        <v>274</v>
      </c>
      <c r="C69" t="s">
        <v>89</v>
      </c>
      <c r="D69" t="s">
        <v>143</v>
      </c>
      <c r="E69" t="s">
        <v>140</v>
      </c>
      <c r="F69" t="s">
        <v>155</v>
      </c>
      <c r="G69">
        <v>14986</v>
      </c>
      <c r="H69">
        <v>40000</v>
      </c>
    </row>
    <row r="70" spans="1:8">
      <c r="A70" t="s">
        <v>275</v>
      </c>
      <c r="B70" t="s">
        <v>276</v>
      </c>
      <c r="C70" t="s">
        <v>92</v>
      </c>
      <c r="D70" t="s">
        <v>143</v>
      </c>
      <c r="E70" t="s">
        <v>140</v>
      </c>
      <c r="F70" t="s">
        <v>158</v>
      </c>
      <c r="G70">
        <v>20633</v>
      </c>
      <c r="H70">
        <v>40000</v>
      </c>
    </row>
    <row r="71" spans="1:8">
      <c r="A71" t="s">
        <v>277</v>
      </c>
      <c r="B71" t="s">
        <v>278</v>
      </c>
      <c r="C71" t="s">
        <v>92</v>
      </c>
      <c r="D71" t="s">
        <v>147</v>
      </c>
      <c r="E71" t="s">
        <v>140</v>
      </c>
      <c r="F71" t="s">
        <v>158</v>
      </c>
      <c r="G71">
        <v>13272</v>
      </c>
      <c r="H71">
        <v>30000</v>
      </c>
    </row>
    <row r="72" spans="1:8">
      <c r="A72" t="s">
        <v>279</v>
      </c>
      <c r="B72" t="s">
        <v>280</v>
      </c>
      <c r="C72" t="s">
        <v>92</v>
      </c>
      <c r="D72" t="s">
        <v>147</v>
      </c>
      <c r="E72" t="s">
        <v>140</v>
      </c>
      <c r="F72" t="s">
        <v>155</v>
      </c>
      <c r="G72">
        <v>36035</v>
      </c>
      <c r="H72">
        <v>30000</v>
      </c>
    </row>
    <row r="73" spans="1:8">
      <c r="A73" t="s">
        <v>281</v>
      </c>
      <c r="B73" t="s">
        <v>282</v>
      </c>
      <c r="C73" t="s">
        <v>94</v>
      </c>
      <c r="D73" t="s">
        <v>147</v>
      </c>
      <c r="E73" t="s">
        <v>144</v>
      </c>
      <c r="F73" t="s">
        <v>135</v>
      </c>
      <c r="G73">
        <v>48873</v>
      </c>
      <c r="H73">
        <v>40000</v>
      </c>
    </row>
    <row r="74" spans="1:8">
      <c r="A74" t="s">
        <v>283</v>
      </c>
      <c r="B74" t="s">
        <v>284</v>
      </c>
      <c r="C74" t="s">
        <v>94</v>
      </c>
      <c r="D74" t="s">
        <v>143</v>
      </c>
      <c r="E74" t="s">
        <v>144</v>
      </c>
      <c r="F74" t="s">
        <v>155</v>
      </c>
      <c r="G74">
        <v>12496</v>
      </c>
      <c r="H74">
        <v>40000</v>
      </c>
    </row>
    <row r="75" spans="1:8">
      <c r="A75" t="s">
        <v>285</v>
      </c>
      <c r="B75" t="s">
        <v>286</v>
      </c>
      <c r="C75" t="s">
        <v>92</v>
      </c>
      <c r="D75" t="s">
        <v>128</v>
      </c>
      <c r="E75" t="s">
        <v>144</v>
      </c>
      <c r="F75" t="s">
        <v>158</v>
      </c>
      <c r="G75">
        <v>41960</v>
      </c>
      <c r="H75">
        <v>30000</v>
      </c>
    </row>
    <row r="76" spans="1:8">
      <c r="A76" t="s">
        <v>287</v>
      </c>
      <c r="B76" t="s">
        <v>288</v>
      </c>
      <c r="C76" t="s">
        <v>85</v>
      </c>
      <c r="D76" t="s">
        <v>147</v>
      </c>
      <c r="E76" t="s">
        <v>140</v>
      </c>
      <c r="F76" t="s">
        <v>130</v>
      </c>
      <c r="G76">
        <v>19284</v>
      </c>
      <c r="H76">
        <v>30000</v>
      </c>
    </row>
    <row r="77" spans="1:8">
      <c r="A77" t="s">
        <v>289</v>
      </c>
      <c r="B77" t="s">
        <v>290</v>
      </c>
      <c r="C77" t="s">
        <v>92</v>
      </c>
      <c r="D77" t="s">
        <v>128</v>
      </c>
      <c r="E77" t="s">
        <v>140</v>
      </c>
      <c r="F77" t="s">
        <v>155</v>
      </c>
      <c r="G77">
        <v>35476</v>
      </c>
      <c r="H77">
        <v>40000</v>
      </c>
    </row>
    <row r="78" spans="1:8">
      <c r="A78" t="s">
        <v>291</v>
      </c>
      <c r="B78" t="s">
        <v>292</v>
      </c>
      <c r="C78" t="s">
        <v>94</v>
      </c>
      <c r="D78" t="s">
        <v>133</v>
      </c>
      <c r="E78" t="s">
        <v>129</v>
      </c>
      <c r="F78" t="s">
        <v>155</v>
      </c>
      <c r="G78">
        <v>21793</v>
      </c>
      <c r="H78">
        <v>40000</v>
      </c>
    </row>
    <row r="79" spans="1:8">
      <c r="A79" t="s">
        <v>293</v>
      </c>
      <c r="B79" t="s">
        <v>294</v>
      </c>
      <c r="C79" t="s">
        <v>154</v>
      </c>
      <c r="D79" t="s">
        <v>143</v>
      </c>
      <c r="E79" t="s">
        <v>134</v>
      </c>
      <c r="F79" t="s">
        <v>158</v>
      </c>
      <c r="G79">
        <v>29175</v>
      </c>
      <c r="H79">
        <v>30000</v>
      </c>
    </row>
    <row r="80" spans="1:8">
      <c r="A80" t="s">
        <v>295</v>
      </c>
      <c r="B80" t="s">
        <v>296</v>
      </c>
      <c r="C80" t="s">
        <v>92</v>
      </c>
      <c r="D80" t="s">
        <v>128</v>
      </c>
      <c r="E80" t="s">
        <v>144</v>
      </c>
      <c r="F80" t="s">
        <v>135</v>
      </c>
      <c r="G80">
        <v>15996</v>
      </c>
      <c r="H80">
        <v>30000</v>
      </c>
    </row>
    <row r="81" spans="1:8">
      <c r="A81" t="s">
        <v>297</v>
      </c>
      <c r="B81" t="s">
        <v>298</v>
      </c>
      <c r="C81" t="s">
        <v>92</v>
      </c>
      <c r="D81" t="s">
        <v>128</v>
      </c>
      <c r="E81" t="s">
        <v>140</v>
      </c>
      <c r="F81" t="s">
        <v>158</v>
      </c>
      <c r="G81">
        <v>44707</v>
      </c>
      <c r="H81">
        <v>40000</v>
      </c>
    </row>
    <row r="82" spans="1:8">
      <c r="A82" t="s">
        <v>299</v>
      </c>
      <c r="B82" t="s">
        <v>300</v>
      </c>
      <c r="C82" t="s">
        <v>154</v>
      </c>
      <c r="D82" t="s">
        <v>128</v>
      </c>
      <c r="E82" t="s">
        <v>140</v>
      </c>
      <c r="F82" t="s">
        <v>130</v>
      </c>
      <c r="G82">
        <v>44796</v>
      </c>
      <c r="H82">
        <v>30000</v>
      </c>
    </row>
    <row r="83" spans="1:8">
      <c r="A83" t="s">
        <v>301</v>
      </c>
      <c r="B83" t="s">
        <v>302</v>
      </c>
      <c r="C83" t="s">
        <v>92</v>
      </c>
      <c r="D83" t="s">
        <v>128</v>
      </c>
      <c r="E83" t="s">
        <v>140</v>
      </c>
      <c r="F83" t="s">
        <v>158</v>
      </c>
      <c r="G83">
        <v>12506</v>
      </c>
      <c r="H83">
        <v>30000</v>
      </c>
    </row>
    <row r="84" spans="1:8">
      <c r="A84" t="s">
        <v>303</v>
      </c>
      <c r="B84" t="s">
        <v>304</v>
      </c>
      <c r="C84" t="s">
        <v>154</v>
      </c>
      <c r="D84" t="s">
        <v>128</v>
      </c>
      <c r="E84" t="s">
        <v>140</v>
      </c>
      <c r="F84" t="s">
        <v>130</v>
      </c>
      <c r="G84">
        <v>15732</v>
      </c>
      <c r="H84">
        <v>30000</v>
      </c>
    </row>
    <row r="85" spans="1:8">
      <c r="A85" t="s">
        <v>305</v>
      </c>
      <c r="B85" t="s">
        <v>306</v>
      </c>
      <c r="C85" t="s">
        <v>94</v>
      </c>
      <c r="D85" t="s">
        <v>143</v>
      </c>
      <c r="E85" t="s">
        <v>140</v>
      </c>
      <c r="F85" t="s">
        <v>158</v>
      </c>
      <c r="G85">
        <v>25384</v>
      </c>
      <c r="H85">
        <v>30000</v>
      </c>
    </row>
    <row r="86" spans="1:8">
      <c r="A86" t="s">
        <v>307</v>
      </c>
      <c r="B86" t="s">
        <v>308</v>
      </c>
      <c r="C86" t="s">
        <v>92</v>
      </c>
      <c r="D86" t="s">
        <v>147</v>
      </c>
      <c r="E86" t="s">
        <v>144</v>
      </c>
      <c r="F86" t="s">
        <v>158</v>
      </c>
      <c r="G86">
        <v>12084</v>
      </c>
      <c r="H86">
        <v>20000</v>
      </c>
    </row>
    <row r="87" spans="1:8">
      <c r="A87" t="s">
        <v>309</v>
      </c>
      <c r="B87" t="s">
        <v>310</v>
      </c>
      <c r="C87" t="s">
        <v>92</v>
      </c>
      <c r="D87" t="s">
        <v>143</v>
      </c>
      <c r="E87" t="s">
        <v>134</v>
      </c>
      <c r="F87" t="s">
        <v>130</v>
      </c>
      <c r="G87">
        <v>42924</v>
      </c>
      <c r="H87">
        <v>20000</v>
      </c>
    </row>
    <row r="88" spans="1:8">
      <c r="A88" t="s">
        <v>311</v>
      </c>
      <c r="B88" t="s">
        <v>312</v>
      </c>
      <c r="C88" t="s">
        <v>94</v>
      </c>
      <c r="D88" t="s">
        <v>147</v>
      </c>
      <c r="E88" t="s">
        <v>129</v>
      </c>
      <c r="F88" t="s">
        <v>130</v>
      </c>
      <c r="G88">
        <v>6682</v>
      </c>
      <c r="H88">
        <v>40000</v>
      </c>
    </row>
    <row r="89" spans="1:8">
      <c r="A89" t="s">
        <v>313</v>
      </c>
      <c r="B89" t="s">
        <v>314</v>
      </c>
      <c r="C89" t="s">
        <v>154</v>
      </c>
      <c r="D89" t="s">
        <v>143</v>
      </c>
      <c r="E89" t="s">
        <v>140</v>
      </c>
      <c r="F89" t="s">
        <v>130</v>
      </c>
      <c r="G89">
        <v>25444</v>
      </c>
      <c r="H89">
        <v>20000</v>
      </c>
    </row>
    <row r="90" spans="1:8">
      <c r="A90" t="s">
        <v>315</v>
      </c>
      <c r="B90" t="s">
        <v>316</v>
      </c>
      <c r="C90" t="s">
        <v>89</v>
      </c>
      <c r="D90" t="s">
        <v>147</v>
      </c>
      <c r="E90" t="s">
        <v>140</v>
      </c>
      <c r="F90" t="s">
        <v>158</v>
      </c>
      <c r="G90">
        <v>42735</v>
      </c>
      <c r="H90">
        <v>30000</v>
      </c>
    </row>
    <row r="91" spans="1:8">
      <c r="A91" t="s">
        <v>317</v>
      </c>
      <c r="B91" t="s">
        <v>318</v>
      </c>
      <c r="C91" t="s">
        <v>89</v>
      </c>
      <c r="D91" t="s">
        <v>128</v>
      </c>
      <c r="E91" t="s">
        <v>140</v>
      </c>
      <c r="F91" t="s">
        <v>130</v>
      </c>
      <c r="G91">
        <v>49390</v>
      </c>
      <c r="H91">
        <v>20000</v>
      </c>
    </row>
    <row r="92" spans="1:8">
      <c r="A92" t="s">
        <v>319</v>
      </c>
      <c r="B92" t="s">
        <v>320</v>
      </c>
      <c r="C92" t="s">
        <v>89</v>
      </c>
      <c r="D92" t="s">
        <v>147</v>
      </c>
      <c r="E92" t="s">
        <v>140</v>
      </c>
      <c r="F92" t="s">
        <v>158</v>
      </c>
      <c r="G92">
        <v>29596</v>
      </c>
      <c r="H92">
        <v>40000</v>
      </c>
    </row>
    <row r="93" spans="1:8">
      <c r="A93" t="s">
        <v>321</v>
      </c>
      <c r="B93" t="s">
        <v>322</v>
      </c>
      <c r="C93" t="s">
        <v>85</v>
      </c>
      <c r="D93" t="s">
        <v>128</v>
      </c>
      <c r="E93" t="s">
        <v>129</v>
      </c>
      <c r="F93" t="s">
        <v>130</v>
      </c>
      <c r="G93">
        <v>30995</v>
      </c>
      <c r="H93">
        <v>40000</v>
      </c>
    </row>
    <row r="94" spans="1:8">
      <c r="A94" t="s">
        <v>323</v>
      </c>
      <c r="B94" t="s">
        <v>324</v>
      </c>
      <c r="C94" t="s">
        <v>85</v>
      </c>
      <c r="D94" t="s">
        <v>147</v>
      </c>
      <c r="E94" t="s">
        <v>140</v>
      </c>
      <c r="F94" t="s">
        <v>135</v>
      </c>
      <c r="G94">
        <v>17997</v>
      </c>
      <c r="H94">
        <v>40000</v>
      </c>
    </row>
    <row r="95" spans="1:8">
      <c r="A95" t="s">
        <v>325</v>
      </c>
      <c r="B95" t="s">
        <v>326</v>
      </c>
      <c r="C95" t="s">
        <v>154</v>
      </c>
      <c r="D95" t="s">
        <v>147</v>
      </c>
      <c r="E95" t="s">
        <v>144</v>
      </c>
      <c r="F95" t="s">
        <v>135</v>
      </c>
      <c r="G95">
        <v>9980</v>
      </c>
      <c r="H95">
        <v>20000</v>
      </c>
    </row>
    <row r="96" spans="1:8">
      <c r="A96" t="s">
        <v>327</v>
      </c>
      <c r="B96" t="s">
        <v>328</v>
      </c>
      <c r="C96" t="s">
        <v>89</v>
      </c>
      <c r="D96" t="s">
        <v>128</v>
      </c>
      <c r="E96" t="s">
        <v>140</v>
      </c>
      <c r="F96" t="s">
        <v>155</v>
      </c>
      <c r="G96">
        <v>43803</v>
      </c>
      <c r="H96">
        <v>20000</v>
      </c>
    </row>
    <row r="97" spans="1:8">
      <c r="A97" t="s">
        <v>329</v>
      </c>
      <c r="B97" t="s">
        <v>330</v>
      </c>
      <c r="C97" t="s">
        <v>92</v>
      </c>
      <c r="D97" t="s">
        <v>128</v>
      </c>
      <c r="E97" t="s">
        <v>140</v>
      </c>
      <c r="F97" t="s">
        <v>130</v>
      </c>
      <c r="G97">
        <v>46106</v>
      </c>
      <c r="H97">
        <v>20000</v>
      </c>
    </row>
    <row r="98" spans="1:8">
      <c r="A98" t="s">
        <v>331</v>
      </c>
      <c r="B98" t="s">
        <v>332</v>
      </c>
      <c r="C98" t="s">
        <v>94</v>
      </c>
      <c r="D98" t="s">
        <v>133</v>
      </c>
      <c r="E98" t="s">
        <v>144</v>
      </c>
      <c r="F98" t="s">
        <v>158</v>
      </c>
      <c r="G98">
        <v>20915</v>
      </c>
      <c r="H98">
        <v>40000</v>
      </c>
    </row>
    <row r="99" spans="1:8">
      <c r="A99" t="s">
        <v>333</v>
      </c>
      <c r="B99" t="s">
        <v>334</v>
      </c>
      <c r="C99" t="s">
        <v>154</v>
      </c>
      <c r="D99" t="s">
        <v>133</v>
      </c>
      <c r="E99" t="s">
        <v>140</v>
      </c>
      <c r="F99" t="s">
        <v>130</v>
      </c>
      <c r="G99">
        <v>11678</v>
      </c>
      <c r="H99">
        <v>30000</v>
      </c>
    </row>
    <row r="100" spans="1:8">
      <c r="A100" t="s">
        <v>335</v>
      </c>
      <c r="B100" t="s">
        <v>336</v>
      </c>
      <c r="C100" t="s">
        <v>94</v>
      </c>
      <c r="D100" t="s">
        <v>143</v>
      </c>
      <c r="E100" t="s">
        <v>129</v>
      </c>
      <c r="F100" t="s">
        <v>130</v>
      </c>
      <c r="G100">
        <v>24764</v>
      </c>
      <c r="H100">
        <v>30000</v>
      </c>
    </row>
    <row r="101" spans="1:8">
      <c r="A101" t="s">
        <v>337</v>
      </c>
      <c r="B101" t="s">
        <v>338</v>
      </c>
      <c r="C101" t="s">
        <v>94</v>
      </c>
      <c r="D101" t="s">
        <v>147</v>
      </c>
      <c r="E101" t="s">
        <v>129</v>
      </c>
      <c r="F101" t="s">
        <v>135</v>
      </c>
      <c r="G101">
        <v>49843</v>
      </c>
      <c r="H101">
        <v>40000</v>
      </c>
    </row>
    <row r="102" spans="1:8">
      <c r="A102" t="s">
        <v>339</v>
      </c>
      <c r="B102" t="s">
        <v>340</v>
      </c>
      <c r="C102" t="s">
        <v>89</v>
      </c>
      <c r="D102" t="s">
        <v>128</v>
      </c>
      <c r="E102" t="s">
        <v>140</v>
      </c>
      <c r="F102" t="s">
        <v>155</v>
      </c>
      <c r="G102">
        <v>44348</v>
      </c>
      <c r="H102">
        <v>40000</v>
      </c>
    </row>
    <row r="103" spans="1:8">
      <c r="A103" t="s">
        <v>341</v>
      </c>
      <c r="B103" t="s">
        <v>342</v>
      </c>
      <c r="C103" t="s">
        <v>85</v>
      </c>
      <c r="D103" t="s">
        <v>133</v>
      </c>
      <c r="E103" t="s">
        <v>144</v>
      </c>
      <c r="F103" t="s">
        <v>135</v>
      </c>
      <c r="G103">
        <v>12933</v>
      </c>
      <c r="H103">
        <v>40000</v>
      </c>
    </row>
    <row r="104" spans="1:8">
      <c r="A104" t="s">
        <v>343</v>
      </c>
      <c r="B104" t="s">
        <v>344</v>
      </c>
      <c r="C104" t="s">
        <v>85</v>
      </c>
      <c r="D104" t="s">
        <v>133</v>
      </c>
      <c r="E104" t="s">
        <v>144</v>
      </c>
      <c r="F104" t="s">
        <v>135</v>
      </c>
      <c r="G104">
        <v>42088</v>
      </c>
      <c r="H104">
        <v>40000</v>
      </c>
    </row>
    <row r="105" spans="1:8">
      <c r="A105" t="s">
        <v>345</v>
      </c>
      <c r="B105" t="s">
        <v>346</v>
      </c>
      <c r="C105" t="s">
        <v>154</v>
      </c>
      <c r="D105" t="s">
        <v>133</v>
      </c>
      <c r="E105" t="s">
        <v>144</v>
      </c>
      <c r="F105" t="s">
        <v>135</v>
      </c>
      <c r="G105">
        <v>7691</v>
      </c>
      <c r="H105">
        <v>30000</v>
      </c>
    </row>
    <row r="106" spans="1:8">
      <c r="A106" t="s">
        <v>347</v>
      </c>
      <c r="B106" t="s">
        <v>348</v>
      </c>
      <c r="C106" t="s">
        <v>92</v>
      </c>
      <c r="D106" t="s">
        <v>143</v>
      </c>
      <c r="E106" t="s">
        <v>129</v>
      </c>
      <c r="F106" t="s">
        <v>130</v>
      </c>
      <c r="G106">
        <v>27754</v>
      </c>
      <c r="H106">
        <v>20000</v>
      </c>
    </row>
    <row r="107" spans="1:8">
      <c r="A107" t="s">
        <v>349</v>
      </c>
      <c r="B107" t="s">
        <v>350</v>
      </c>
      <c r="C107" t="s">
        <v>85</v>
      </c>
      <c r="D107" t="s">
        <v>133</v>
      </c>
      <c r="E107" t="s">
        <v>140</v>
      </c>
      <c r="F107" t="s">
        <v>155</v>
      </c>
      <c r="G107">
        <v>39913</v>
      </c>
      <c r="H107">
        <v>20000</v>
      </c>
    </row>
    <row r="108" spans="1:8">
      <c r="A108" t="s">
        <v>351</v>
      </c>
      <c r="B108" t="s">
        <v>352</v>
      </c>
      <c r="C108" t="s">
        <v>89</v>
      </c>
      <c r="D108" t="s">
        <v>133</v>
      </c>
      <c r="E108" t="s">
        <v>140</v>
      </c>
      <c r="F108" t="s">
        <v>155</v>
      </c>
      <c r="G108">
        <v>33074</v>
      </c>
      <c r="H108">
        <v>30000</v>
      </c>
    </row>
    <row r="109" spans="1:8">
      <c r="A109" t="s">
        <v>353</v>
      </c>
      <c r="B109" t="s">
        <v>354</v>
      </c>
      <c r="C109" t="s">
        <v>154</v>
      </c>
      <c r="D109" t="s">
        <v>128</v>
      </c>
      <c r="E109" t="s">
        <v>129</v>
      </c>
      <c r="F109" t="s">
        <v>130</v>
      </c>
      <c r="G109">
        <v>48353</v>
      </c>
      <c r="H109">
        <v>20000</v>
      </c>
    </row>
    <row r="110" spans="1:8">
      <c r="A110" t="s">
        <v>355</v>
      </c>
      <c r="B110" t="s">
        <v>356</v>
      </c>
      <c r="C110" t="s">
        <v>154</v>
      </c>
      <c r="D110" t="s">
        <v>143</v>
      </c>
      <c r="E110" t="s">
        <v>134</v>
      </c>
      <c r="F110" t="s">
        <v>130</v>
      </c>
      <c r="G110">
        <v>29285</v>
      </c>
      <c r="H110">
        <v>30000</v>
      </c>
    </row>
    <row r="111" spans="1:8">
      <c r="A111" t="s">
        <v>357</v>
      </c>
      <c r="B111" t="s">
        <v>358</v>
      </c>
      <c r="C111" t="s">
        <v>94</v>
      </c>
      <c r="D111" t="s">
        <v>128</v>
      </c>
      <c r="E111" t="s">
        <v>129</v>
      </c>
      <c r="F111" t="s">
        <v>155</v>
      </c>
      <c r="G111">
        <v>9519</v>
      </c>
      <c r="H111">
        <v>20000</v>
      </c>
    </row>
    <row r="112" spans="1:8">
      <c r="A112" t="s">
        <v>359</v>
      </c>
      <c r="B112" t="s">
        <v>360</v>
      </c>
      <c r="C112" t="s">
        <v>94</v>
      </c>
      <c r="D112" t="s">
        <v>143</v>
      </c>
      <c r="E112" t="s">
        <v>140</v>
      </c>
      <c r="F112" t="s">
        <v>135</v>
      </c>
      <c r="G112">
        <v>38158</v>
      </c>
      <c r="H112">
        <v>30000</v>
      </c>
    </row>
    <row r="113" spans="1:8">
      <c r="A113" t="s">
        <v>361</v>
      </c>
      <c r="B113" t="s">
        <v>362</v>
      </c>
      <c r="C113" t="s">
        <v>92</v>
      </c>
      <c r="D113" t="s">
        <v>143</v>
      </c>
      <c r="E113" t="s">
        <v>134</v>
      </c>
      <c r="F113" t="s">
        <v>130</v>
      </c>
      <c r="G113">
        <v>47437</v>
      </c>
      <c r="H113">
        <v>20000</v>
      </c>
    </row>
    <row r="114" spans="1:8">
      <c r="A114" t="s">
        <v>363</v>
      </c>
      <c r="B114" t="s">
        <v>364</v>
      </c>
      <c r="C114" t="s">
        <v>154</v>
      </c>
      <c r="D114" t="s">
        <v>133</v>
      </c>
      <c r="E114" t="s">
        <v>140</v>
      </c>
      <c r="F114" t="s">
        <v>135</v>
      </c>
      <c r="G114">
        <v>27362</v>
      </c>
      <c r="H114">
        <v>40000</v>
      </c>
    </row>
    <row r="115" spans="1:8">
      <c r="A115" t="s">
        <v>365</v>
      </c>
      <c r="B115" t="s">
        <v>366</v>
      </c>
      <c r="C115" t="s">
        <v>89</v>
      </c>
      <c r="D115" t="s">
        <v>133</v>
      </c>
      <c r="E115" t="s">
        <v>144</v>
      </c>
      <c r="F115" t="s">
        <v>155</v>
      </c>
      <c r="G115">
        <v>5829</v>
      </c>
      <c r="H115">
        <v>40000</v>
      </c>
    </row>
    <row r="116" spans="1:8">
      <c r="A116" t="s">
        <v>367</v>
      </c>
      <c r="B116" t="s">
        <v>368</v>
      </c>
      <c r="C116" t="s">
        <v>94</v>
      </c>
      <c r="D116" t="s">
        <v>143</v>
      </c>
      <c r="E116" t="s">
        <v>140</v>
      </c>
      <c r="F116" t="s">
        <v>135</v>
      </c>
      <c r="G116">
        <v>32528</v>
      </c>
      <c r="H116">
        <v>20000</v>
      </c>
    </row>
    <row r="117" spans="1:8">
      <c r="A117" t="s">
        <v>369</v>
      </c>
      <c r="B117" t="s">
        <v>370</v>
      </c>
      <c r="C117" t="s">
        <v>94</v>
      </c>
      <c r="D117" t="s">
        <v>143</v>
      </c>
      <c r="E117" t="s">
        <v>144</v>
      </c>
      <c r="F117" t="s">
        <v>158</v>
      </c>
      <c r="G117">
        <v>37125</v>
      </c>
      <c r="H117">
        <v>30000</v>
      </c>
    </row>
    <row r="118" spans="1:8">
      <c r="A118" t="s">
        <v>371</v>
      </c>
      <c r="B118" t="s">
        <v>372</v>
      </c>
      <c r="C118" t="s">
        <v>92</v>
      </c>
      <c r="D118" t="s">
        <v>128</v>
      </c>
      <c r="E118" t="s">
        <v>140</v>
      </c>
      <c r="F118" t="s">
        <v>130</v>
      </c>
      <c r="G118">
        <v>11916</v>
      </c>
      <c r="H118">
        <v>20000</v>
      </c>
    </row>
    <row r="119" spans="1:8">
      <c r="A119" t="s">
        <v>373</v>
      </c>
      <c r="B119" t="s">
        <v>374</v>
      </c>
      <c r="C119" t="s">
        <v>85</v>
      </c>
      <c r="D119" t="s">
        <v>143</v>
      </c>
      <c r="E119" t="s">
        <v>129</v>
      </c>
      <c r="F119" t="s">
        <v>130</v>
      </c>
      <c r="G119">
        <v>33411</v>
      </c>
      <c r="H119">
        <v>20000</v>
      </c>
    </row>
    <row r="120" spans="1:8">
      <c r="A120" t="s">
        <v>375</v>
      </c>
      <c r="B120" t="s">
        <v>376</v>
      </c>
      <c r="C120" t="s">
        <v>85</v>
      </c>
      <c r="D120" t="s">
        <v>133</v>
      </c>
      <c r="E120" t="s">
        <v>144</v>
      </c>
      <c r="F120" t="s">
        <v>158</v>
      </c>
      <c r="G120">
        <v>28736</v>
      </c>
      <c r="H120">
        <v>40000</v>
      </c>
    </row>
    <row r="121" spans="1:8">
      <c r="A121" t="s">
        <v>377</v>
      </c>
      <c r="B121" t="s">
        <v>378</v>
      </c>
      <c r="C121" t="s">
        <v>89</v>
      </c>
      <c r="D121" t="s">
        <v>133</v>
      </c>
      <c r="E121" t="s">
        <v>129</v>
      </c>
      <c r="F121" t="s">
        <v>158</v>
      </c>
      <c r="G121">
        <v>46653</v>
      </c>
      <c r="H121">
        <v>30000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D990-EB98-4B2B-BD8B-76289C6023C2}">
  <dimension ref="A1:K51"/>
  <sheetViews>
    <sheetView workbookViewId="0">
      <selection activeCell="J23" sqref="J23"/>
    </sheetView>
  </sheetViews>
  <sheetFormatPr defaultRowHeight="16.5"/>
  <sheetData>
    <row r="1" spans="1:11" ht="18">
      <c r="A1" s="16" t="s">
        <v>77</v>
      </c>
      <c r="B1" s="16" t="s">
        <v>78</v>
      </c>
      <c r="C1" s="16" t="s">
        <v>79</v>
      </c>
      <c r="D1" s="16" t="s">
        <v>80</v>
      </c>
      <c r="E1" s="16" t="s">
        <v>81</v>
      </c>
      <c r="F1" s="16" t="s">
        <v>82</v>
      </c>
      <c r="K1" s="17" t="s">
        <v>83</v>
      </c>
    </row>
    <row r="2" spans="1:11">
      <c r="A2" t="s">
        <v>84</v>
      </c>
      <c r="B2" t="s">
        <v>85</v>
      </c>
      <c r="C2">
        <v>44</v>
      </c>
      <c r="D2">
        <v>74</v>
      </c>
      <c r="E2">
        <v>118</v>
      </c>
      <c r="F2">
        <v>59</v>
      </c>
      <c r="K2" s="18"/>
    </row>
    <row r="3" spans="1:11">
      <c r="A3" t="s">
        <v>86</v>
      </c>
      <c r="B3" t="s">
        <v>85</v>
      </c>
      <c r="C3">
        <v>74</v>
      </c>
      <c r="D3">
        <v>91</v>
      </c>
      <c r="E3">
        <v>165</v>
      </c>
      <c r="F3">
        <v>82.5</v>
      </c>
      <c r="K3" s="19" t="s">
        <v>87</v>
      </c>
    </row>
    <row r="4" spans="1:11">
      <c r="A4" t="s">
        <v>88</v>
      </c>
      <c r="B4" t="s">
        <v>89</v>
      </c>
      <c r="C4">
        <v>94</v>
      </c>
      <c r="D4">
        <v>86</v>
      </c>
      <c r="E4">
        <v>180</v>
      </c>
      <c r="F4">
        <v>90</v>
      </c>
      <c r="K4" s="18" t="s">
        <v>90</v>
      </c>
    </row>
    <row r="5" spans="1:11">
      <c r="A5" t="s">
        <v>91</v>
      </c>
      <c r="B5" t="s">
        <v>92</v>
      </c>
      <c r="C5">
        <v>38</v>
      </c>
      <c r="D5">
        <v>35</v>
      </c>
      <c r="E5">
        <v>73</v>
      </c>
      <c r="F5">
        <v>36.5</v>
      </c>
      <c r="K5" s="20" t="s">
        <v>93</v>
      </c>
    </row>
    <row r="6" spans="1:11">
      <c r="A6" t="s">
        <v>84</v>
      </c>
      <c r="B6" t="s">
        <v>94</v>
      </c>
      <c r="C6">
        <v>30</v>
      </c>
      <c r="D6">
        <v>57</v>
      </c>
      <c r="E6">
        <v>87</v>
      </c>
      <c r="F6">
        <v>43.5</v>
      </c>
      <c r="K6" s="18"/>
    </row>
    <row r="7" spans="1:11">
      <c r="A7" t="s">
        <v>95</v>
      </c>
      <c r="B7" t="s">
        <v>89</v>
      </c>
      <c r="C7">
        <v>37</v>
      </c>
      <c r="D7">
        <v>57</v>
      </c>
      <c r="E7">
        <v>94</v>
      </c>
      <c r="F7">
        <v>47</v>
      </c>
      <c r="K7" s="19" t="s">
        <v>31</v>
      </c>
    </row>
    <row r="8" spans="1:11">
      <c r="A8" t="s">
        <v>96</v>
      </c>
      <c r="B8" t="s">
        <v>94</v>
      </c>
      <c r="C8">
        <v>92</v>
      </c>
      <c r="D8">
        <v>73</v>
      </c>
      <c r="E8">
        <v>165</v>
      </c>
      <c r="F8">
        <v>82.5</v>
      </c>
      <c r="K8" s="18" t="s">
        <v>97</v>
      </c>
    </row>
    <row r="9" spans="1:11">
      <c r="A9" t="s">
        <v>84</v>
      </c>
      <c r="B9" t="s">
        <v>94</v>
      </c>
      <c r="C9">
        <v>40</v>
      </c>
      <c r="D9">
        <v>59</v>
      </c>
      <c r="E9">
        <v>99</v>
      </c>
      <c r="F9">
        <v>49.5</v>
      </c>
      <c r="K9" s="20" t="s">
        <v>98</v>
      </c>
    </row>
    <row r="10" spans="1:11">
      <c r="A10" t="s">
        <v>88</v>
      </c>
      <c r="B10" t="s">
        <v>89</v>
      </c>
      <c r="C10">
        <v>37</v>
      </c>
      <c r="D10">
        <v>91</v>
      </c>
      <c r="E10">
        <v>128</v>
      </c>
      <c r="F10">
        <v>64</v>
      </c>
      <c r="K10" s="18"/>
    </row>
    <row r="11" spans="1:11">
      <c r="A11" t="s">
        <v>91</v>
      </c>
      <c r="B11" t="s">
        <v>89</v>
      </c>
      <c r="C11">
        <v>64</v>
      </c>
      <c r="D11">
        <v>91</v>
      </c>
      <c r="E11">
        <v>155</v>
      </c>
      <c r="F11">
        <v>77.5</v>
      </c>
      <c r="K11" s="19" t="s">
        <v>99</v>
      </c>
    </row>
    <row r="12" spans="1:11">
      <c r="A12" t="s">
        <v>86</v>
      </c>
      <c r="B12" t="s">
        <v>89</v>
      </c>
      <c r="C12">
        <v>64</v>
      </c>
      <c r="D12">
        <v>30</v>
      </c>
      <c r="E12">
        <v>94</v>
      </c>
      <c r="F12">
        <v>47</v>
      </c>
      <c r="K12" s="18" t="s">
        <v>100</v>
      </c>
    </row>
    <row r="13" spans="1:11">
      <c r="A13" t="s">
        <v>88</v>
      </c>
      <c r="B13" t="s">
        <v>89</v>
      </c>
      <c r="C13">
        <v>62</v>
      </c>
      <c r="D13">
        <v>56</v>
      </c>
      <c r="E13">
        <v>118</v>
      </c>
      <c r="F13">
        <v>59</v>
      </c>
      <c r="K13" s="20" t="s">
        <v>101</v>
      </c>
    </row>
    <row r="14" spans="1:11">
      <c r="A14" t="s">
        <v>88</v>
      </c>
      <c r="B14" t="s">
        <v>89</v>
      </c>
      <c r="C14">
        <v>34</v>
      </c>
      <c r="D14">
        <v>91</v>
      </c>
      <c r="E14">
        <v>125</v>
      </c>
      <c r="F14">
        <v>62.5</v>
      </c>
    </row>
    <row r="15" spans="1:11">
      <c r="A15" t="s">
        <v>96</v>
      </c>
      <c r="B15" t="s">
        <v>94</v>
      </c>
      <c r="C15">
        <v>70</v>
      </c>
      <c r="D15">
        <v>32</v>
      </c>
      <c r="E15">
        <v>102</v>
      </c>
      <c r="F15">
        <v>51</v>
      </c>
      <c r="K15" s="2"/>
    </row>
    <row r="16" spans="1:11">
      <c r="A16" t="s">
        <v>102</v>
      </c>
      <c r="B16" t="s">
        <v>89</v>
      </c>
      <c r="C16">
        <v>57</v>
      </c>
      <c r="D16">
        <v>99</v>
      </c>
      <c r="E16">
        <v>156</v>
      </c>
      <c r="F16">
        <v>78</v>
      </c>
      <c r="K16" s="21"/>
    </row>
    <row r="17" spans="1:6">
      <c r="A17" t="s">
        <v>91</v>
      </c>
      <c r="B17" t="s">
        <v>92</v>
      </c>
      <c r="C17">
        <v>36</v>
      </c>
      <c r="D17">
        <v>56</v>
      </c>
      <c r="E17">
        <v>92</v>
      </c>
      <c r="F17">
        <v>46</v>
      </c>
    </row>
    <row r="18" spans="1:6">
      <c r="A18" t="s">
        <v>103</v>
      </c>
      <c r="B18" t="s">
        <v>85</v>
      </c>
      <c r="C18">
        <v>41</v>
      </c>
      <c r="D18">
        <v>38</v>
      </c>
      <c r="E18">
        <v>79</v>
      </c>
      <c r="F18">
        <v>39.5</v>
      </c>
    </row>
    <row r="19" spans="1:6">
      <c r="A19" t="s">
        <v>88</v>
      </c>
      <c r="B19" t="s">
        <v>89</v>
      </c>
      <c r="C19">
        <v>63</v>
      </c>
      <c r="D19">
        <v>91</v>
      </c>
      <c r="E19">
        <v>154</v>
      </c>
      <c r="F19">
        <v>77</v>
      </c>
    </row>
    <row r="20" spans="1:6">
      <c r="A20" t="s">
        <v>102</v>
      </c>
      <c r="B20" t="s">
        <v>89</v>
      </c>
      <c r="C20">
        <v>62</v>
      </c>
      <c r="D20">
        <v>66</v>
      </c>
      <c r="E20">
        <v>128</v>
      </c>
      <c r="F20">
        <v>64</v>
      </c>
    </row>
    <row r="21" spans="1:6">
      <c r="A21" t="s">
        <v>103</v>
      </c>
      <c r="B21" t="s">
        <v>94</v>
      </c>
      <c r="C21">
        <v>77</v>
      </c>
      <c r="D21">
        <v>80</v>
      </c>
      <c r="E21">
        <v>157</v>
      </c>
      <c r="F21">
        <v>78.5</v>
      </c>
    </row>
    <row r="22" spans="1:6">
      <c r="A22" t="s">
        <v>91</v>
      </c>
      <c r="B22" t="s">
        <v>89</v>
      </c>
      <c r="C22">
        <v>52</v>
      </c>
      <c r="D22">
        <v>73</v>
      </c>
      <c r="E22">
        <v>125</v>
      </c>
      <c r="F22">
        <v>62.5</v>
      </c>
    </row>
    <row r="23" spans="1:6">
      <c r="A23" t="s">
        <v>104</v>
      </c>
      <c r="B23" t="s">
        <v>89</v>
      </c>
      <c r="C23">
        <v>91</v>
      </c>
      <c r="D23">
        <v>53</v>
      </c>
      <c r="E23">
        <v>144</v>
      </c>
      <c r="F23">
        <v>72</v>
      </c>
    </row>
    <row r="24" spans="1:6">
      <c r="A24" t="s">
        <v>95</v>
      </c>
      <c r="B24" t="s">
        <v>89</v>
      </c>
      <c r="C24">
        <v>66</v>
      </c>
      <c r="D24">
        <v>88</v>
      </c>
      <c r="E24">
        <v>154</v>
      </c>
      <c r="F24">
        <v>77</v>
      </c>
    </row>
    <row r="25" spans="1:6">
      <c r="A25" t="s">
        <v>102</v>
      </c>
      <c r="B25" t="s">
        <v>94</v>
      </c>
      <c r="C25">
        <v>73</v>
      </c>
      <c r="D25">
        <v>61</v>
      </c>
      <c r="E25">
        <v>134</v>
      </c>
      <c r="F25">
        <v>67</v>
      </c>
    </row>
    <row r="26" spans="1:6">
      <c r="A26" t="s">
        <v>105</v>
      </c>
      <c r="B26" t="s">
        <v>89</v>
      </c>
      <c r="C26">
        <v>64</v>
      </c>
      <c r="D26">
        <v>81</v>
      </c>
      <c r="E26">
        <v>145</v>
      </c>
      <c r="F26">
        <v>72.5</v>
      </c>
    </row>
    <row r="27" spans="1:6">
      <c r="A27" t="s">
        <v>104</v>
      </c>
      <c r="B27" t="s">
        <v>85</v>
      </c>
      <c r="C27">
        <v>94</v>
      </c>
      <c r="D27">
        <v>91</v>
      </c>
      <c r="E27">
        <v>185</v>
      </c>
      <c r="F27">
        <v>92.5</v>
      </c>
    </row>
    <row r="28" spans="1:6">
      <c r="A28" t="s">
        <v>95</v>
      </c>
      <c r="B28" t="s">
        <v>94</v>
      </c>
      <c r="C28">
        <v>76</v>
      </c>
      <c r="D28">
        <v>87</v>
      </c>
      <c r="E28">
        <v>163</v>
      </c>
      <c r="F28">
        <v>81.5</v>
      </c>
    </row>
    <row r="29" spans="1:6">
      <c r="A29" t="s">
        <v>96</v>
      </c>
      <c r="B29" t="s">
        <v>85</v>
      </c>
      <c r="C29">
        <v>32</v>
      </c>
      <c r="D29">
        <v>81</v>
      </c>
      <c r="E29">
        <v>113</v>
      </c>
      <c r="F29">
        <v>56.5</v>
      </c>
    </row>
    <row r="30" spans="1:6">
      <c r="A30" t="s">
        <v>84</v>
      </c>
      <c r="B30" t="s">
        <v>94</v>
      </c>
      <c r="C30">
        <v>30</v>
      </c>
      <c r="D30">
        <v>41</v>
      </c>
      <c r="E30">
        <v>71</v>
      </c>
      <c r="F30">
        <v>35.5</v>
      </c>
    </row>
    <row r="31" spans="1:6">
      <c r="A31" t="s">
        <v>86</v>
      </c>
      <c r="B31" t="s">
        <v>89</v>
      </c>
      <c r="C31">
        <v>34</v>
      </c>
      <c r="D31">
        <v>68</v>
      </c>
      <c r="E31">
        <v>102</v>
      </c>
      <c r="F31">
        <v>51</v>
      </c>
    </row>
    <row r="32" spans="1:6">
      <c r="A32" t="s">
        <v>105</v>
      </c>
      <c r="B32" t="s">
        <v>85</v>
      </c>
      <c r="C32">
        <v>43</v>
      </c>
      <c r="D32">
        <v>31</v>
      </c>
      <c r="E32">
        <v>74</v>
      </c>
      <c r="F32">
        <v>37</v>
      </c>
    </row>
    <row r="33" spans="1:6">
      <c r="A33" t="s">
        <v>96</v>
      </c>
      <c r="B33" t="s">
        <v>94</v>
      </c>
      <c r="C33">
        <v>56</v>
      </c>
      <c r="D33">
        <v>32</v>
      </c>
      <c r="E33">
        <v>88</v>
      </c>
      <c r="F33">
        <v>44</v>
      </c>
    </row>
    <row r="34" spans="1:6">
      <c r="A34" t="s">
        <v>91</v>
      </c>
      <c r="B34" t="s">
        <v>92</v>
      </c>
      <c r="C34">
        <v>38</v>
      </c>
      <c r="D34">
        <v>85</v>
      </c>
      <c r="E34">
        <v>123</v>
      </c>
      <c r="F34">
        <v>61.5</v>
      </c>
    </row>
    <row r="35" spans="1:6">
      <c r="A35" t="s">
        <v>96</v>
      </c>
      <c r="B35" t="s">
        <v>89</v>
      </c>
      <c r="C35">
        <v>44</v>
      </c>
      <c r="D35">
        <v>88</v>
      </c>
      <c r="E35">
        <v>132</v>
      </c>
      <c r="F35">
        <v>66</v>
      </c>
    </row>
    <row r="36" spans="1:6">
      <c r="A36" t="s">
        <v>84</v>
      </c>
      <c r="B36" t="s">
        <v>94</v>
      </c>
      <c r="C36">
        <v>71</v>
      </c>
      <c r="D36">
        <v>31</v>
      </c>
      <c r="E36">
        <v>102</v>
      </c>
      <c r="F36">
        <v>51</v>
      </c>
    </row>
    <row r="37" spans="1:6">
      <c r="A37" t="s">
        <v>91</v>
      </c>
      <c r="B37" t="s">
        <v>92</v>
      </c>
      <c r="C37">
        <v>80</v>
      </c>
      <c r="D37">
        <v>31</v>
      </c>
      <c r="E37">
        <v>111</v>
      </c>
      <c r="F37">
        <v>55.5</v>
      </c>
    </row>
    <row r="38" spans="1:6">
      <c r="A38" t="s">
        <v>105</v>
      </c>
      <c r="B38" t="s">
        <v>94</v>
      </c>
      <c r="C38">
        <v>92</v>
      </c>
      <c r="D38">
        <v>83</v>
      </c>
      <c r="E38">
        <v>175</v>
      </c>
      <c r="F38">
        <v>87.5</v>
      </c>
    </row>
    <row r="39" spans="1:6">
      <c r="A39" t="s">
        <v>84</v>
      </c>
      <c r="B39" t="s">
        <v>92</v>
      </c>
      <c r="C39">
        <v>81</v>
      </c>
      <c r="D39">
        <v>30</v>
      </c>
      <c r="E39">
        <v>111</v>
      </c>
      <c r="F39">
        <v>55.5</v>
      </c>
    </row>
    <row r="40" spans="1:6">
      <c r="A40" t="s">
        <v>103</v>
      </c>
      <c r="B40" t="s">
        <v>89</v>
      </c>
      <c r="C40">
        <v>33</v>
      </c>
      <c r="D40">
        <v>48</v>
      </c>
      <c r="E40">
        <v>81</v>
      </c>
      <c r="F40">
        <v>40.5</v>
      </c>
    </row>
    <row r="41" spans="1:6">
      <c r="A41" t="s">
        <v>86</v>
      </c>
      <c r="B41" t="s">
        <v>85</v>
      </c>
      <c r="C41">
        <v>52</v>
      </c>
      <c r="D41">
        <v>31</v>
      </c>
      <c r="E41">
        <v>83</v>
      </c>
      <c r="F41">
        <v>41.5</v>
      </c>
    </row>
    <row r="42" spans="1:6">
      <c r="A42" t="s">
        <v>105</v>
      </c>
      <c r="B42" t="s">
        <v>92</v>
      </c>
      <c r="C42">
        <v>44</v>
      </c>
      <c r="D42">
        <v>82</v>
      </c>
      <c r="E42">
        <v>126</v>
      </c>
      <c r="F42">
        <v>63</v>
      </c>
    </row>
    <row r="43" spans="1:6">
      <c r="A43" t="s">
        <v>103</v>
      </c>
      <c r="B43" t="s">
        <v>94</v>
      </c>
      <c r="C43">
        <v>72</v>
      </c>
      <c r="D43">
        <v>73</v>
      </c>
      <c r="E43">
        <v>145</v>
      </c>
      <c r="F43">
        <v>72.5</v>
      </c>
    </row>
    <row r="44" spans="1:6">
      <c r="A44" t="s">
        <v>95</v>
      </c>
      <c r="B44" t="s">
        <v>89</v>
      </c>
      <c r="C44">
        <v>58</v>
      </c>
      <c r="D44">
        <v>61</v>
      </c>
      <c r="E44">
        <v>119</v>
      </c>
      <c r="F44">
        <v>59.5</v>
      </c>
    </row>
    <row r="45" spans="1:6">
      <c r="A45" t="s">
        <v>105</v>
      </c>
      <c r="B45" t="s">
        <v>92</v>
      </c>
      <c r="C45">
        <v>65</v>
      </c>
      <c r="D45">
        <v>99</v>
      </c>
      <c r="E45">
        <v>164</v>
      </c>
      <c r="F45">
        <v>82</v>
      </c>
    </row>
    <row r="46" spans="1:6">
      <c r="A46" t="s">
        <v>95</v>
      </c>
      <c r="B46" t="s">
        <v>94</v>
      </c>
      <c r="C46">
        <v>42</v>
      </c>
      <c r="D46">
        <v>61</v>
      </c>
      <c r="E46">
        <v>103</v>
      </c>
      <c r="F46">
        <v>51.5</v>
      </c>
    </row>
    <row r="47" spans="1:6">
      <c r="A47" t="s">
        <v>91</v>
      </c>
      <c r="B47" t="s">
        <v>94</v>
      </c>
      <c r="C47">
        <v>61</v>
      </c>
      <c r="D47">
        <v>97</v>
      </c>
      <c r="E47">
        <v>158</v>
      </c>
      <c r="F47">
        <v>79</v>
      </c>
    </row>
    <row r="48" spans="1:6">
      <c r="A48" t="s">
        <v>103</v>
      </c>
      <c r="B48" t="s">
        <v>94</v>
      </c>
      <c r="C48">
        <v>88</v>
      </c>
      <c r="D48">
        <v>84</v>
      </c>
      <c r="E48">
        <v>172</v>
      </c>
      <c r="F48">
        <v>86</v>
      </c>
    </row>
    <row r="49" spans="1:6">
      <c r="A49" t="s">
        <v>86</v>
      </c>
      <c r="B49" t="s">
        <v>92</v>
      </c>
      <c r="C49">
        <v>57</v>
      </c>
      <c r="D49">
        <v>85</v>
      </c>
      <c r="E49">
        <v>142</v>
      </c>
      <c r="F49">
        <v>71</v>
      </c>
    </row>
    <row r="50" spans="1:6">
      <c r="A50" t="s">
        <v>84</v>
      </c>
      <c r="B50" t="s">
        <v>92</v>
      </c>
      <c r="C50">
        <v>95</v>
      </c>
      <c r="D50">
        <v>46</v>
      </c>
      <c r="E50">
        <v>141</v>
      </c>
      <c r="F50">
        <v>70.5</v>
      </c>
    </row>
    <row r="51" spans="1:6">
      <c r="A51" t="s">
        <v>88</v>
      </c>
      <c r="B51" t="s">
        <v>92</v>
      </c>
      <c r="C51">
        <v>71</v>
      </c>
      <c r="D51">
        <v>67</v>
      </c>
      <c r="E51">
        <v>138</v>
      </c>
      <c r="F51">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1E9C-502E-4FEA-BCD7-C4820E0143AD}">
  <dimension ref="A1:P51"/>
  <sheetViews>
    <sheetView topLeftCell="E1" zoomScale="145" zoomScaleNormal="145" workbookViewId="0">
      <selection activeCell="M9" sqref="M9"/>
    </sheetView>
  </sheetViews>
  <sheetFormatPr defaultRowHeight="16.5"/>
  <cols>
    <col min="8" max="8" width="10.125" bestFit="1" customWidth="1"/>
    <col min="10" max="10" width="19.25" customWidth="1"/>
  </cols>
  <sheetData>
    <row r="1" spans="1:16">
      <c r="A1" s="22" t="s">
        <v>77</v>
      </c>
      <c r="B1" s="22" t="s">
        <v>78</v>
      </c>
      <c r="C1" s="22" t="s">
        <v>106</v>
      </c>
      <c r="D1" s="22" t="s">
        <v>107</v>
      </c>
      <c r="E1" s="22" t="s">
        <v>81</v>
      </c>
      <c r="F1" s="22" t="s">
        <v>82</v>
      </c>
      <c r="G1" s="22" t="s">
        <v>108</v>
      </c>
      <c r="L1" s="19"/>
    </row>
    <row r="2" spans="1:16">
      <c r="A2" t="s">
        <v>84</v>
      </c>
      <c r="B2" t="s">
        <v>85</v>
      </c>
      <c r="C2">
        <v>35</v>
      </c>
      <c r="D2">
        <v>74</v>
      </c>
      <c r="E2">
        <v>118</v>
      </c>
      <c r="F2">
        <v>59</v>
      </c>
      <c r="G2" t="str">
        <f>IF(E2&gt;100,"Pass","Fail")</f>
        <v>Pass</v>
      </c>
      <c r="H2" s="28"/>
      <c r="K2" t="s">
        <v>109</v>
      </c>
      <c r="L2" s="18"/>
    </row>
    <row r="3" spans="1:16">
      <c r="A3" t="s">
        <v>86</v>
      </c>
      <c r="B3" t="s">
        <v>85</v>
      </c>
      <c r="C3">
        <v>74</v>
      </c>
      <c r="D3">
        <v>91</v>
      </c>
      <c r="E3">
        <v>165</v>
      </c>
      <c r="F3">
        <v>82.5</v>
      </c>
      <c r="G3" t="str">
        <f t="shared" ref="G3:G51" si="0">IF(E3&gt;100,"Pass","Fail")</f>
        <v>Pass</v>
      </c>
      <c r="H3" s="28"/>
      <c r="K3" t="s">
        <v>110</v>
      </c>
      <c r="L3" s="20"/>
    </row>
    <row r="4" spans="1:16">
      <c r="A4" t="s">
        <v>88</v>
      </c>
      <c r="B4" t="s">
        <v>89</v>
      </c>
      <c r="C4">
        <v>94</v>
      </c>
      <c r="D4">
        <v>86</v>
      </c>
      <c r="E4">
        <v>180</v>
      </c>
      <c r="F4">
        <v>90</v>
      </c>
      <c r="G4" t="str">
        <f t="shared" si="0"/>
        <v>Pass</v>
      </c>
      <c r="H4" s="28"/>
      <c r="J4" s="3"/>
      <c r="K4" s="3"/>
      <c r="L4" s="3"/>
    </row>
    <row r="5" spans="1:16">
      <c r="A5" t="s">
        <v>91</v>
      </c>
      <c r="B5" t="s">
        <v>92</v>
      </c>
      <c r="C5">
        <v>38</v>
      </c>
      <c r="D5">
        <v>35</v>
      </c>
      <c r="E5">
        <v>73</v>
      </c>
      <c r="F5">
        <v>36.5</v>
      </c>
      <c r="G5" t="str">
        <f t="shared" si="0"/>
        <v>Fail</v>
      </c>
      <c r="H5" s="28"/>
      <c r="J5" s="3"/>
      <c r="K5" s="3"/>
      <c r="L5" s="3"/>
    </row>
    <row r="6" spans="1:16">
      <c r="A6" t="s">
        <v>84</v>
      </c>
      <c r="B6" t="s">
        <v>94</v>
      </c>
      <c r="C6">
        <v>30</v>
      </c>
      <c r="D6">
        <v>57</v>
      </c>
      <c r="E6">
        <v>87</v>
      </c>
      <c r="F6">
        <v>43.5</v>
      </c>
      <c r="G6" t="str">
        <f t="shared" si="0"/>
        <v>Fail</v>
      </c>
      <c r="H6" s="28"/>
    </row>
    <row r="7" spans="1:16">
      <c r="A7" t="s">
        <v>95</v>
      </c>
      <c r="B7" t="s">
        <v>89</v>
      </c>
      <c r="C7">
        <v>37</v>
      </c>
      <c r="D7">
        <v>57</v>
      </c>
      <c r="E7">
        <v>94</v>
      </c>
      <c r="F7">
        <v>47</v>
      </c>
      <c r="G7" t="str">
        <f t="shared" si="0"/>
        <v>Fail</v>
      </c>
      <c r="H7" s="28"/>
    </row>
    <row r="8" spans="1:16">
      <c r="A8" t="s">
        <v>96</v>
      </c>
      <c r="B8" t="s">
        <v>94</v>
      </c>
      <c r="C8">
        <v>92</v>
      </c>
      <c r="D8">
        <v>73</v>
      </c>
      <c r="E8">
        <v>165</v>
      </c>
      <c r="F8">
        <v>82.5</v>
      </c>
      <c r="G8" t="str">
        <f t="shared" si="0"/>
        <v>Pass</v>
      </c>
      <c r="H8" s="28"/>
      <c r="J8" s="24" t="s">
        <v>111</v>
      </c>
      <c r="K8" s="24" t="s">
        <v>112</v>
      </c>
      <c r="P8">
        <v>75</v>
      </c>
    </row>
    <row r="9" spans="1:16">
      <c r="A9" t="s">
        <v>84</v>
      </c>
      <c r="B9" t="s">
        <v>94</v>
      </c>
      <c r="C9">
        <v>40</v>
      </c>
      <c r="D9">
        <v>59</v>
      </c>
      <c r="E9">
        <v>99</v>
      </c>
      <c r="F9">
        <v>49.5</v>
      </c>
      <c r="G9" t="str">
        <f t="shared" si="0"/>
        <v>Fail</v>
      </c>
      <c r="H9" s="27"/>
      <c r="J9" s="25" t="s">
        <v>113</v>
      </c>
      <c r="K9" s="26"/>
      <c r="P9">
        <v>32</v>
      </c>
    </row>
    <row r="10" spans="1:16">
      <c r="A10" t="s">
        <v>88</v>
      </c>
      <c r="B10" t="s">
        <v>89</v>
      </c>
      <c r="C10">
        <v>37</v>
      </c>
      <c r="D10">
        <v>91</v>
      </c>
      <c r="E10">
        <v>128</v>
      </c>
      <c r="F10">
        <v>64</v>
      </c>
      <c r="G10" t="str">
        <f t="shared" si="0"/>
        <v>Pass</v>
      </c>
      <c r="H10" s="27"/>
      <c r="J10" s="25" t="s">
        <v>114</v>
      </c>
      <c r="K10" s="26"/>
      <c r="P10">
        <v>23</v>
      </c>
    </row>
    <row r="11" spans="1:16">
      <c r="A11" t="s">
        <v>91</v>
      </c>
      <c r="B11" t="s">
        <v>89</v>
      </c>
      <c r="C11">
        <v>64</v>
      </c>
      <c r="D11">
        <v>91</v>
      </c>
      <c r="E11">
        <v>155</v>
      </c>
      <c r="F11">
        <v>77.5</v>
      </c>
      <c r="G11" t="str">
        <f t="shared" si="0"/>
        <v>Pass</v>
      </c>
      <c r="H11" s="27"/>
      <c r="J11" s="25" t="s">
        <v>115</v>
      </c>
      <c r="K11" s="26"/>
      <c r="P11">
        <v>65</v>
      </c>
    </row>
    <row r="12" spans="1:16">
      <c r="A12" t="s">
        <v>86</v>
      </c>
      <c r="B12" t="s">
        <v>89</v>
      </c>
      <c r="C12">
        <v>64</v>
      </c>
      <c r="D12">
        <v>30</v>
      </c>
      <c r="E12">
        <v>94</v>
      </c>
      <c r="F12">
        <v>47</v>
      </c>
      <c r="G12" t="str">
        <f t="shared" si="0"/>
        <v>Fail</v>
      </c>
      <c r="H12" s="23"/>
      <c r="J12" s="25" t="s">
        <v>116</v>
      </c>
      <c r="K12" s="26"/>
      <c r="P12">
        <v>45</v>
      </c>
    </row>
    <row r="13" spans="1:16">
      <c r="A13" t="s">
        <v>88</v>
      </c>
      <c r="B13" t="s">
        <v>89</v>
      </c>
      <c r="C13">
        <v>62</v>
      </c>
      <c r="D13">
        <v>56</v>
      </c>
      <c r="E13">
        <v>118</v>
      </c>
      <c r="F13">
        <v>59</v>
      </c>
      <c r="G13" t="str">
        <f t="shared" si="0"/>
        <v>Pass</v>
      </c>
      <c r="H13" s="23"/>
      <c r="J13" s="25" t="s">
        <v>117</v>
      </c>
      <c r="K13" s="26"/>
      <c r="P13">
        <f>SUM(P8:P12)</f>
        <v>240</v>
      </c>
    </row>
    <row r="14" spans="1:16">
      <c r="A14" t="s">
        <v>88</v>
      </c>
      <c r="B14" t="s">
        <v>89</v>
      </c>
      <c r="C14">
        <v>34</v>
      </c>
      <c r="D14">
        <v>91</v>
      </c>
      <c r="E14">
        <v>125</v>
      </c>
      <c r="F14">
        <v>62.5</v>
      </c>
      <c r="G14" t="str">
        <f t="shared" si="0"/>
        <v>Pass</v>
      </c>
      <c r="H14" s="23"/>
      <c r="J14" s="25" t="s">
        <v>118</v>
      </c>
      <c r="K14" s="26"/>
      <c r="P14">
        <f>AVERAGE(P8:P13)</f>
        <v>80</v>
      </c>
    </row>
    <row r="15" spans="1:16">
      <c r="A15" t="s">
        <v>96</v>
      </c>
      <c r="B15" t="s">
        <v>94</v>
      </c>
      <c r="C15">
        <v>70</v>
      </c>
      <c r="D15">
        <v>32</v>
      </c>
      <c r="E15">
        <v>102</v>
      </c>
      <c r="F15">
        <v>51</v>
      </c>
      <c r="G15" t="str">
        <f t="shared" si="0"/>
        <v>Pass</v>
      </c>
      <c r="H15" s="23"/>
      <c r="J15" s="25" t="s">
        <v>119</v>
      </c>
      <c r="K15" s="26"/>
      <c r="P15">
        <f>COUNT(P8:P14)</f>
        <v>7</v>
      </c>
    </row>
    <row r="16" spans="1:16">
      <c r="A16" t="s">
        <v>102</v>
      </c>
      <c r="B16" t="s">
        <v>89</v>
      </c>
      <c r="C16">
        <v>57</v>
      </c>
      <c r="D16">
        <v>99</v>
      </c>
      <c r="E16">
        <v>156</v>
      </c>
      <c r="F16">
        <v>78</v>
      </c>
      <c r="G16" t="str">
        <f t="shared" si="0"/>
        <v>Pass</v>
      </c>
      <c r="H16" s="23"/>
      <c r="P16">
        <f>MAX(P8:P15)</f>
        <v>240</v>
      </c>
    </row>
    <row r="17" spans="1:16">
      <c r="A17" t="s">
        <v>91</v>
      </c>
      <c r="B17" t="s">
        <v>92</v>
      </c>
      <c r="C17">
        <v>36</v>
      </c>
      <c r="D17">
        <v>56</v>
      </c>
      <c r="E17">
        <v>92</v>
      </c>
      <c r="F17">
        <v>46</v>
      </c>
      <c r="G17" t="str">
        <f t="shared" si="0"/>
        <v>Fail</v>
      </c>
      <c r="H17" s="23"/>
      <c r="P17">
        <f>MIN(P8:P16)</f>
        <v>7</v>
      </c>
    </row>
    <row r="18" spans="1:16">
      <c r="A18" t="s">
        <v>103</v>
      </c>
      <c r="B18" t="s">
        <v>85</v>
      </c>
      <c r="C18">
        <v>41</v>
      </c>
      <c r="D18">
        <v>38</v>
      </c>
      <c r="E18">
        <v>79</v>
      </c>
      <c r="F18">
        <v>39.5</v>
      </c>
      <c r="G18" t="str">
        <f t="shared" si="0"/>
        <v>Fail</v>
      </c>
      <c r="H18" s="23"/>
    </row>
    <row r="19" spans="1:16">
      <c r="A19" t="s">
        <v>88</v>
      </c>
      <c r="B19" t="s">
        <v>89</v>
      </c>
      <c r="C19">
        <v>63</v>
      </c>
      <c r="D19">
        <v>91</v>
      </c>
      <c r="E19">
        <v>154</v>
      </c>
      <c r="F19">
        <v>77</v>
      </c>
      <c r="G19" t="str">
        <f t="shared" si="0"/>
        <v>Pass</v>
      </c>
      <c r="H19" s="23"/>
    </row>
    <row r="20" spans="1:16">
      <c r="A20" t="s">
        <v>102</v>
      </c>
      <c r="B20" t="s">
        <v>89</v>
      </c>
      <c r="C20">
        <v>62</v>
      </c>
      <c r="D20">
        <v>66</v>
      </c>
      <c r="E20">
        <v>128</v>
      </c>
      <c r="F20">
        <v>64</v>
      </c>
      <c r="G20" t="str">
        <f t="shared" si="0"/>
        <v>Pass</v>
      </c>
      <c r="H20" s="23"/>
    </row>
    <row r="21" spans="1:16">
      <c r="A21" t="s">
        <v>103</v>
      </c>
      <c r="B21" t="s">
        <v>94</v>
      </c>
      <c r="C21">
        <v>77</v>
      </c>
      <c r="D21">
        <v>80</v>
      </c>
      <c r="E21">
        <v>157</v>
      </c>
      <c r="F21">
        <v>78.5</v>
      </c>
      <c r="G21" t="str">
        <f t="shared" si="0"/>
        <v>Pass</v>
      </c>
      <c r="H21" s="23"/>
    </row>
    <row r="22" spans="1:16">
      <c r="A22" t="s">
        <v>91</v>
      </c>
      <c r="B22" t="s">
        <v>89</v>
      </c>
      <c r="C22">
        <v>52</v>
      </c>
      <c r="D22">
        <v>73</v>
      </c>
      <c r="E22">
        <v>125</v>
      </c>
      <c r="F22">
        <v>62.5</v>
      </c>
      <c r="G22" t="str">
        <f t="shared" si="0"/>
        <v>Pass</v>
      </c>
      <c r="H22" s="23"/>
    </row>
    <row r="23" spans="1:16">
      <c r="A23" t="s">
        <v>104</v>
      </c>
      <c r="B23" t="s">
        <v>89</v>
      </c>
      <c r="C23">
        <v>91</v>
      </c>
      <c r="D23">
        <v>53</v>
      </c>
      <c r="E23">
        <v>144</v>
      </c>
      <c r="F23">
        <v>72</v>
      </c>
      <c r="G23" t="str">
        <f t="shared" si="0"/>
        <v>Pass</v>
      </c>
      <c r="H23" s="23"/>
    </row>
    <row r="24" spans="1:16">
      <c r="A24" t="s">
        <v>95</v>
      </c>
      <c r="B24" t="s">
        <v>89</v>
      </c>
      <c r="C24">
        <v>66</v>
      </c>
      <c r="D24">
        <v>88</v>
      </c>
      <c r="E24">
        <v>154</v>
      </c>
      <c r="F24">
        <v>77</v>
      </c>
      <c r="G24" t="str">
        <f t="shared" si="0"/>
        <v>Pass</v>
      </c>
      <c r="H24" s="23"/>
    </row>
    <row r="25" spans="1:16">
      <c r="A25" t="s">
        <v>102</v>
      </c>
      <c r="B25" t="s">
        <v>94</v>
      </c>
      <c r="C25">
        <v>73</v>
      </c>
      <c r="D25">
        <v>61</v>
      </c>
      <c r="E25">
        <v>134</v>
      </c>
      <c r="F25">
        <v>67</v>
      </c>
      <c r="G25" t="str">
        <f t="shared" si="0"/>
        <v>Pass</v>
      </c>
      <c r="H25" s="23"/>
    </row>
    <row r="26" spans="1:16">
      <c r="A26" t="s">
        <v>105</v>
      </c>
      <c r="B26" t="s">
        <v>89</v>
      </c>
      <c r="C26">
        <v>64</v>
      </c>
      <c r="D26">
        <v>81</v>
      </c>
      <c r="E26">
        <v>145</v>
      </c>
      <c r="F26">
        <v>72.5</v>
      </c>
      <c r="G26" t="str">
        <f t="shared" si="0"/>
        <v>Pass</v>
      </c>
      <c r="H26" s="23"/>
    </row>
    <row r="27" spans="1:16">
      <c r="A27" t="s">
        <v>104</v>
      </c>
      <c r="B27" t="s">
        <v>85</v>
      </c>
      <c r="C27">
        <v>94</v>
      </c>
      <c r="D27">
        <v>91</v>
      </c>
      <c r="E27">
        <v>185</v>
      </c>
      <c r="F27">
        <v>92.5</v>
      </c>
      <c r="G27" t="str">
        <f t="shared" si="0"/>
        <v>Pass</v>
      </c>
      <c r="H27" s="23"/>
    </row>
    <row r="28" spans="1:16">
      <c r="A28" t="s">
        <v>95</v>
      </c>
      <c r="B28" t="s">
        <v>94</v>
      </c>
      <c r="C28">
        <v>76</v>
      </c>
      <c r="D28">
        <v>87</v>
      </c>
      <c r="E28">
        <v>163</v>
      </c>
      <c r="F28">
        <v>81.5</v>
      </c>
      <c r="G28" t="str">
        <f t="shared" si="0"/>
        <v>Pass</v>
      </c>
      <c r="H28" s="23"/>
    </row>
    <row r="29" spans="1:16">
      <c r="A29" t="s">
        <v>96</v>
      </c>
      <c r="B29" t="s">
        <v>85</v>
      </c>
      <c r="C29">
        <v>32</v>
      </c>
      <c r="D29">
        <v>81</v>
      </c>
      <c r="E29">
        <v>113</v>
      </c>
      <c r="F29">
        <v>56.5</v>
      </c>
      <c r="G29" t="str">
        <f t="shared" si="0"/>
        <v>Pass</v>
      </c>
      <c r="H29" s="23"/>
    </row>
    <row r="30" spans="1:16">
      <c r="A30" t="s">
        <v>84</v>
      </c>
      <c r="B30" t="s">
        <v>94</v>
      </c>
      <c r="C30">
        <v>30</v>
      </c>
      <c r="D30">
        <v>41</v>
      </c>
      <c r="E30">
        <v>71</v>
      </c>
      <c r="F30">
        <v>35.5</v>
      </c>
      <c r="G30" t="str">
        <f t="shared" si="0"/>
        <v>Fail</v>
      </c>
      <c r="H30" s="23"/>
      <c r="K30">
        <v>10</v>
      </c>
      <c r="L30" t="b">
        <f>IF(K30&gt;11,TRUE,FALSE)</f>
        <v>0</v>
      </c>
    </row>
    <row r="31" spans="1:16">
      <c r="A31" t="s">
        <v>86</v>
      </c>
      <c r="B31" t="s">
        <v>89</v>
      </c>
      <c r="C31">
        <v>34</v>
      </c>
      <c r="D31">
        <v>68</v>
      </c>
      <c r="E31">
        <v>102</v>
      </c>
      <c r="F31">
        <v>51</v>
      </c>
      <c r="G31" t="str">
        <f t="shared" si="0"/>
        <v>Pass</v>
      </c>
      <c r="H31" s="23"/>
    </row>
    <row r="32" spans="1:16">
      <c r="A32" t="s">
        <v>105</v>
      </c>
      <c r="B32" t="s">
        <v>85</v>
      </c>
      <c r="C32">
        <v>43</v>
      </c>
      <c r="D32">
        <v>31</v>
      </c>
      <c r="E32">
        <v>74</v>
      </c>
      <c r="F32">
        <v>37</v>
      </c>
      <c r="G32" t="str">
        <f t="shared" si="0"/>
        <v>Fail</v>
      </c>
      <c r="H32" s="23"/>
    </row>
    <row r="33" spans="1:8">
      <c r="A33" t="s">
        <v>96</v>
      </c>
      <c r="B33" t="s">
        <v>94</v>
      </c>
      <c r="C33">
        <v>56</v>
      </c>
      <c r="D33">
        <v>32</v>
      </c>
      <c r="E33">
        <v>88</v>
      </c>
      <c r="F33">
        <v>44</v>
      </c>
      <c r="G33" t="str">
        <f t="shared" si="0"/>
        <v>Fail</v>
      </c>
      <c r="H33" s="23"/>
    </row>
    <row r="34" spans="1:8">
      <c r="A34" t="s">
        <v>91</v>
      </c>
      <c r="B34" t="s">
        <v>92</v>
      </c>
      <c r="C34">
        <v>38</v>
      </c>
      <c r="D34">
        <v>85</v>
      </c>
      <c r="E34">
        <v>123</v>
      </c>
      <c r="F34">
        <v>61.5</v>
      </c>
      <c r="G34" t="str">
        <f t="shared" si="0"/>
        <v>Pass</v>
      </c>
      <c r="H34" s="23"/>
    </row>
    <row r="35" spans="1:8">
      <c r="A35" t="s">
        <v>96</v>
      </c>
      <c r="B35" t="s">
        <v>89</v>
      </c>
      <c r="C35">
        <v>44</v>
      </c>
      <c r="D35">
        <v>88</v>
      </c>
      <c r="E35">
        <v>132</v>
      </c>
      <c r="F35">
        <v>66</v>
      </c>
      <c r="G35" t="str">
        <f t="shared" si="0"/>
        <v>Pass</v>
      </c>
      <c r="H35" s="23"/>
    </row>
    <row r="36" spans="1:8">
      <c r="A36" t="s">
        <v>84</v>
      </c>
      <c r="B36" t="s">
        <v>94</v>
      </c>
      <c r="C36">
        <v>71</v>
      </c>
      <c r="D36">
        <v>31</v>
      </c>
      <c r="E36">
        <v>102</v>
      </c>
      <c r="F36">
        <v>51</v>
      </c>
      <c r="G36" t="str">
        <f t="shared" si="0"/>
        <v>Pass</v>
      </c>
      <c r="H36" s="23"/>
    </row>
    <row r="37" spans="1:8">
      <c r="A37" t="s">
        <v>91</v>
      </c>
      <c r="B37" t="s">
        <v>92</v>
      </c>
      <c r="C37">
        <v>80</v>
      </c>
      <c r="D37">
        <v>31</v>
      </c>
      <c r="E37">
        <v>111</v>
      </c>
      <c r="F37">
        <v>55.5</v>
      </c>
      <c r="G37" t="str">
        <f t="shared" si="0"/>
        <v>Pass</v>
      </c>
      <c r="H37" s="23"/>
    </row>
    <row r="38" spans="1:8">
      <c r="A38" t="s">
        <v>105</v>
      </c>
      <c r="B38" t="s">
        <v>94</v>
      </c>
      <c r="C38">
        <v>92</v>
      </c>
      <c r="D38">
        <v>83</v>
      </c>
      <c r="E38">
        <v>175</v>
      </c>
      <c r="F38">
        <v>87.5</v>
      </c>
      <c r="G38" t="str">
        <f t="shared" si="0"/>
        <v>Pass</v>
      </c>
      <c r="H38" s="23"/>
    </row>
    <row r="39" spans="1:8">
      <c r="A39" t="s">
        <v>84</v>
      </c>
      <c r="B39" t="s">
        <v>92</v>
      </c>
      <c r="C39">
        <v>81</v>
      </c>
      <c r="D39">
        <v>30</v>
      </c>
      <c r="E39">
        <v>111</v>
      </c>
      <c r="F39">
        <v>55.5</v>
      </c>
      <c r="G39" t="str">
        <f t="shared" si="0"/>
        <v>Pass</v>
      </c>
      <c r="H39" s="23"/>
    </row>
    <row r="40" spans="1:8">
      <c r="A40" t="s">
        <v>103</v>
      </c>
      <c r="B40" t="s">
        <v>89</v>
      </c>
      <c r="C40">
        <v>33</v>
      </c>
      <c r="D40">
        <v>48</v>
      </c>
      <c r="E40">
        <v>81</v>
      </c>
      <c r="F40">
        <v>40.5</v>
      </c>
      <c r="G40" t="str">
        <f t="shared" si="0"/>
        <v>Fail</v>
      </c>
      <c r="H40" s="23"/>
    </row>
    <row r="41" spans="1:8">
      <c r="A41" t="s">
        <v>86</v>
      </c>
      <c r="B41" t="s">
        <v>85</v>
      </c>
      <c r="C41">
        <v>52</v>
      </c>
      <c r="D41">
        <v>31</v>
      </c>
      <c r="E41">
        <v>83</v>
      </c>
      <c r="F41">
        <v>41.5</v>
      </c>
      <c r="G41" t="str">
        <f t="shared" si="0"/>
        <v>Fail</v>
      </c>
      <c r="H41" s="23"/>
    </row>
    <row r="42" spans="1:8">
      <c r="A42" t="s">
        <v>105</v>
      </c>
      <c r="B42" t="s">
        <v>92</v>
      </c>
      <c r="C42">
        <v>44</v>
      </c>
      <c r="D42">
        <v>82</v>
      </c>
      <c r="E42">
        <v>126</v>
      </c>
      <c r="F42">
        <v>63</v>
      </c>
      <c r="G42" t="str">
        <f t="shared" si="0"/>
        <v>Pass</v>
      </c>
      <c r="H42" s="23"/>
    </row>
    <row r="43" spans="1:8">
      <c r="A43" t="s">
        <v>103</v>
      </c>
      <c r="B43" t="s">
        <v>94</v>
      </c>
      <c r="C43">
        <v>72</v>
      </c>
      <c r="D43">
        <v>73</v>
      </c>
      <c r="E43">
        <v>145</v>
      </c>
      <c r="F43">
        <v>72.5</v>
      </c>
      <c r="G43" t="str">
        <f t="shared" si="0"/>
        <v>Pass</v>
      </c>
      <c r="H43" s="23"/>
    </row>
    <row r="44" spans="1:8">
      <c r="A44" t="s">
        <v>95</v>
      </c>
      <c r="B44" t="s">
        <v>89</v>
      </c>
      <c r="C44">
        <v>58</v>
      </c>
      <c r="D44">
        <v>61</v>
      </c>
      <c r="E44">
        <v>119</v>
      </c>
      <c r="F44">
        <v>59.5</v>
      </c>
      <c r="G44" t="str">
        <f t="shared" si="0"/>
        <v>Pass</v>
      </c>
      <c r="H44" s="23"/>
    </row>
    <row r="45" spans="1:8">
      <c r="A45" t="s">
        <v>105</v>
      </c>
      <c r="B45" t="s">
        <v>92</v>
      </c>
      <c r="C45">
        <v>65</v>
      </c>
      <c r="D45">
        <v>99</v>
      </c>
      <c r="E45">
        <v>164</v>
      </c>
      <c r="F45">
        <v>82</v>
      </c>
      <c r="G45" t="str">
        <f t="shared" si="0"/>
        <v>Pass</v>
      </c>
      <c r="H45" s="23"/>
    </row>
    <row r="46" spans="1:8">
      <c r="A46" t="s">
        <v>95</v>
      </c>
      <c r="B46" t="s">
        <v>94</v>
      </c>
      <c r="C46">
        <v>42</v>
      </c>
      <c r="D46">
        <v>61</v>
      </c>
      <c r="E46">
        <v>103</v>
      </c>
      <c r="F46">
        <v>51.5</v>
      </c>
      <c r="G46" t="str">
        <f t="shared" si="0"/>
        <v>Pass</v>
      </c>
      <c r="H46" s="23"/>
    </row>
    <row r="47" spans="1:8">
      <c r="A47" t="s">
        <v>91</v>
      </c>
      <c r="B47" t="s">
        <v>94</v>
      </c>
      <c r="C47">
        <v>61</v>
      </c>
      <c r="D47">
        <v>97</v>
      </c>
      <c r="E47">
        <v>158</v>
      </c>
      <c r="F47">
        <v>79</v>
      </c>
      <c r="G47" t="str">
        <f t="shared" si="0"/>
        <v>Pass</v>
      </c>
      <c r="H47" s="23"/>
    </row>
    <row r="48" spans="1:8">
      <c r="A48" t="s">
        <v>103</v>
      </c>
      <c r="B48" t="s">
        <v>94</v>
      </c>
      <c r="C48">
        <v>88</v>
      </c>
      <c r="D48">
        <v>84</v>
      </c>
      <c r="E48">
        <v>172</v>
      </c>
      <c r="F48">
        <v>86</v>
      </c>
      <c r="G48" t="str">
        <f t="shared" si="0"/>
        <v>Pass</v>
      </c>
      <c r="H48" s="23"/>
    </row>
    <row r="49" spans="1:8">
      <c r="A49" t="s">
        <v>86</v>
      </c>
      <c r="B49" t="s">
        <v>92</v>
      </c>
      <c r="C49">
        <v>57</v>
      </c>
      <c r="D49">
        <v>85</v>
      </c>
      <c r="E49">
        <v>142</v>
      </c>
      <c r="F49">
        <v>71</v>
      </c>
      <c r="G49" t="str">
        <f t="shared" si="0"/>
        <v>Pass</v>
      </c>
      <c r="H49" s="23"/>
    </row>
    <row r="50" spans="1:8">
      <c r="A50" t="s">
        <v>84</v>
      </c>
      <c r="B50" t="s">
        <v>92</v>
      </c>
      <c r="C50">
        <v>95</v>
      </c>
      <c r="D50">
        <v>46</v>
      </c>
      <c r="E50">
        <v>141</v>
      </c>
      <c r="F50">
        <v>70.5</v>
      </c>
      <c r="G50" t="str">
        <f t="shared" si="0"/>
        <v>Pass</v>
      </c>
      <c r="H50" s="23"/>
    </row>
    <row r="51" spans="1:8">
      <c r="A51" t="s">
        <v>88</v>
      </c>
      <c r="B51" t="s">
        <v>92</v>
      </c>
      <c r="C51">
        <v>71</v>
      </c>
      <c r="D51">
        <v>67</v>
      </c>
      <c r="E51">
        <v>138</v>
      </c>
      <c r="F51">
        <v>69</v>
      </c>
      <c r="G51" t="str">
        <f t="shared" si="0"/>
        <v>Pass</v>
      </c>
      <c r="H51"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E77E-7137-4CC1-8384-6E6F8062C76B}">
  <dimension ref="A1:J160"/>
  <sheetViews>
    <sheetView tabSelected="1" workbookViewId="0">
      <selection activeCell="L12" sqref="L12"/>
    </sheetView>
  </sheetViews>
  <sheetFormatPr defaultRowHeight="16.5"/>
  <sheetData>
    <row r="1" spans="1:10" ht="30.75">
      <c r="A1" s="47" t="s">
        <v>591</v>
      </c>
    </row>
    <row r="3" spans="1:10" ht="33">
      <c r="A3" s="14" t="s">
        <v>592</v>
      </c>
      <c r="B3" s="14" t="s">
        <v>77</v>
      </c>
      <c r="C3" s="14" t="s">
        <v>414</v>
      </c>
      <c r="D3" s="14" t="s">
        <v>593</v>
      </c>
      <c r="E3" s="14" t="s">
        <v>594</v>
      </c>
      <c r="F3" s="14" t="s">
        <v>563</v>
      </c>
      <c r="G3" s="14" t="s">
        <v>595</v>
      </c>
      <c r="H3" s="14" t="s">
        <v>596</v>
      </c>
      <c r="I3" s="14" t="s">
        <v>597</v>
      </c>
      <c r="J3" s="14" t="s">
        <v>598</v>
      </c>
    </row>
    <row r="4" spans="1:10">
      <c r="A4" s="13" t="s">
        <v>599</v>
      </c>
      <c r="B4" s="13" t="s">
        <v>600</v>
      </c>
      <c r="C4" s="13" t="s">
        <v>417</v>
      </c>
      <c r="D4" s="13">
        <v>78</v>
      </c>
      <c r="E4" s="13">
        <v>85</v>
      </c>
      <c r="F4" s="13">
        <v>74</v>
      </c>
      <c r="G4" s="13">
        <v>92</v>
      </c>
      <c r="H4" s="13">
        <v>65</v>
      </c>
      <c r="I4" s="13" t="s">
        <v>601</v>
      </c>
      <c r="J4" s="13"/>
    </row>
    <row r="5" spans="1:10">
      <c r="A5" s="13" t="s">
        <v>602</v>
      </c>
      <c r="B5" s="13" t="s">
        <v>603</v>
      </c>
      <c r="C5" s="13" t="s">
        <v>420</v>
      </c>
      <c r="D5" s="13">
        <v>45</v>
      </c>
      <c r="E5" s="13">
        <v>52</v>
      </c>
      <c r="F5" s="13">
        <v>48</v>
      </c>
      <c r="G5" s="13">
        <v>81</v>
      </c>
      <c r="H5" s="13">
        <v>40</v>
      </c>
      <c r="I5" s="13" t="s">
        <v>604</v>
      </c>
      <c r="J5" s="13"/>
    </row>
    <row r="6" spans="1:10">
      <c r="A6" s="13" t="s">
        <v>605</v>
      </c>
      <c r="B6" s="13" t="s">
        <v>606</v>
      </c>
      <c r="C6" s="13" t="s">
        <v>417</v>
      </c>
      <c r="D6" s="13">
        <v>88</v>
      </c>
      <c r="E6" s="13">
        <v>91</v>
      </c>
      <c r="F6" s="13">
        <v>84</v>
      </c>
      <c r="G6" s="13">
        <v>95</v>
      </c>
      <c r="H6" s="13">
        <v>72</v>
      </c>
      <c r="I6" s="13" t="s">
        <v>601</v>
      </c>
      <c r="J6" s="13"/>
    </row>
    <row r="7" spans="1:10">
      <c r="A7" s="13" t="s">
        <v>607</v>
      </c>
      <c r="B7" s="13" t="s">
        <v>608</v>
      </c>
      <c r="C7" s="13" t="s">
        <v>420</v>
      </c>
      <c r="D7" s="13">
        <v>33</v>
      </c>
      <c r="E7" s="13">
        <v>41</v>
      </c>
      <c r="F7" s="13">
        <v>39</v>
      </c>
      <c r="G7" s="13">
        <v>68</v>
      </c>
      <c r="H7" s="13">
        <v>30</v>
      </c>
      <c r="I7" s="13" t="s">
        <v>604</v>
      </c>
      <c r="J7" s="13"/>
    </row>
    <row r="8" spans="1:10">
      <c r="A8" s="13" t="s">
        <v>609</v>
      </c>
      <c r="B8" s="13" t="s">
        <v>610</v>
      </c>
      <c r="C8" s="13" t="s">
        <v>417</v>
      </c>
      <c r="D8" s="13">
        <v>59</v>
      </c>
      <c r="E8" s="13">
        <v>64</v>
      </c>
      <c r="F8" s="13">
        <v>61</v>
      </c>
      <c r="G8" s="13">
        <v>88</v>
      </c>
      <c r="H8" s="13">
        <v>55</v>
      </c>
      <c r="I8" s="13" t="s">
        <v>601</v>
      </c>
      <c r="J8" s="13"/>
    </row>
    <row r="9" spans="1:10">
      <c r="A9" s="13" t="s">
        <v>611</v>
      </c>
      <c r="B9" s="13" t="s">
        <v>612</v>
      </c>
      <c r="C9" s="13" t="s">
        <v>420</v>
      </c>
      <c r="D9" s="13">
        <v>92</v>
      </c>
      <c r="E9" s="13">
        <v>89</v>
      </c>
      <c r="F9" s="13">
        <v>94</v>
      </c>
      <c r="G9" s="13">
        <v>97</v>
      </c>
      <c r="H9" s="13">
        <v>80</v>
      </c>
      <c r="I9" s="13" t="s">
        <v>601</v>
      </c>
      <c r="J9" s="13"/>
    </row>
    <row r="10" spans="1:10">
      <c r="A10" s="13" t="s">
        <v>613</v>
      </c>
      <c r="B10" s="13" t="s">
        <v>614</v>
      </c>
      <c r="C10" s="13" t="s">
        <v>417</v>
      </c>
      <c r="D10" s="13">
        <v>71</v>
      </c>
      <c r="E10" s="13">
        <v>58</v>
      </c>
      <c r="F10" s="13">
        <v>62</v>
      </c>
      <c r="G10" s="13">
        <v>74</v>
      </c>
      <c r="H10" s="13">
        <v>49</v>
      </c>
      <c r="I10" s="13" t="s">
        <v>604</v>
      </c>
      <c r="J10" s="13"/>
    </row>
    <row r="11" spans="1:10">
      <c r="A11" s="13" t="s">
        <v>615</v>
      </c>
      <c r="B11" s="13" t="s">
        <v>616</v>
      </c>
      <c r="C11" s="13" t="s">
        <v>420</v>
      </c>
      <c r="D11" s="13">
        <v>49</v>
      </c>
      <c r="E11" s="13">
        <v>36</v>
      </c>
      <c r="F11" s="13">
        <v>44</v>
      </c>
      <c r="G11" s="13">
        <v>83</v>
      </c>
      <c r="H11" s="13">
        <v>35</v>
      </c>
      <c r="I11" s="13" t="s">
        <v>601</v>
      </c>
      <c r="J11" s="13"/>
    </row>
    <row r="12" spans="1:10">
      <c r="A12" s="13" t="s">
        <v>617</v>
      </c>
      <c r="B12" s="13" t="s">
        <v>618</v>
      </c>
      <c r="C12" s="13" t="s">
        <v>417</v>
      </c>
      <c r="D12" s="13">
        <v>67</v>
      </c>
      <c r="E12" s="13">
        <v>72</v>
      </c>
      <c r="F12" s="13">
        <v>69</v>
      </c>
      <c r="G12" s="13">
        <v>90</v>
      </c>
      <c r="H12" s="13">
        <v>60</v>
      </c>
      <c r="I12" s="13" t="s">
        <v>601</v>
      </c>
      <c r="J12" s="13"/>
    </row>
    <row r="13" spans="1:10">
      <c r="A13" s="13" t="s">
        <v>619</v>
      </c>
      <c r="B13" s="13" t="s">
        <v>620</v>
      </c>
      <c r="C13" s="13" t="s">
        <v>420</v>
      </c>
      <c r="D13" s="13">
        <v>28</v>
      </c>
      <c r="E13" s="13">
        <v>35</v>
      </c>
      <c r="F13" s="13">
        <v>31</v>
      </c>
      <c r="G13" s="13">
        <v>59</v>
      </c>
      <c r="H13" s="13">
        <v>20</v>
      </c>
      <c r="I13" s="13" t="s">
        <v>604</v>
      </c>
      <c r="J13" s="13"/>
    </row>
    <row r="16" spans="1:10" ht="30.75">
      <c r="A16" s="47" t="s">
        <v>621</v>
      </c>
    </row>
    <row r="18" spans="1:1" ht="23.25">
      <c r="A18" s="29" t="s">
        <v>622</v>
      </c>
    </row>
    <row r="19" spans="1:1">
      <c r="A19" s="18"/>
    </row>
    <row r="20" spans="1:1">
      <c r="A20" s="18" t="s">
        <v>623</v>
      </c>
    </row>
    <row r="21" spans="1:1">
      <c r="A21" s="18" t="s">
        <v>624</v>
      </c>
    </row>
    <row r="22" spans="1:1">
      <c r="A22" s="18"/>
    </row>
    <row r="23" spans="1:1">
      <c r="A23" s="18" t="s">
        <v>625</v>
      </c>
    </row>
    <row r="24" spans="1:1">
      <c r="A24" s="18" t="s">
        <v>626</v>
      </c>
    </row>
    <row r="25" spans="1:1">
      <c r="A25" s="18"/>
    </row>
    <row r="26" spans="1:1">
      <c r="A26" s="18" t="s">
        <v>627</v>
      </c>
    </row>
    <row r="27" spans="1:1">
      <c r="A27" s="18" t="s">
        <v>628</v>
      </c>
    </row>
    <row r="28" spans="1:1">
      <c r="A28" s="18"/>
    </row>
    <row r="29" spans="1:1">
      <c r="A29" s="18" t="s">
        <v>629</v>
      </c>
    </row>
    <row r="30" spans="1:1">
      <c r="A30" s="18" t="s">
        <v>630</v>
      </c>
    </row>
    <row r="34" spans="1:1" ht="23.25">
      <c r="A34" s="29" t="s">
        <v>631</v>
      </c>
    </row>
    <row r="35" spans="1:1">
      <c r="A35" s="18"/>
    </row>
    <row r="36" spans="1:1">
      <c r="A36" s="18" t="s">
        <v>632</v>
      </c>
    </row>
    <row r="37" spans="1:1">
      <c r="A37" s="18" t="s">
        <v>633</v>
      </c>
    </row>
    <row r="38" spans="1:1">
      <c r="A38" s="18"/>
    </row>
    <row r="39" spans="1:1">
      <c r="A39" s="18" t="s">
        <v>634</v>
      </c>
    </row>
    <row r="40" spans="1:1">
      <c r="A40" s="18" t="s">
        <v>635</v>
      </c>
    </row>
    <row r="41" spans="1:1">
      <c r="A41" s="18"/>
    </row>
    <row r="42" spans="1:1">
      <c r="A42" s="18" t="s">
        <v>636</v>
      </c>
    </row>
    <row r="43" spans="1:1">
      <c r="A43" s="18" t="s">
        <v>637</v>
      </c>
    </row>
    <row r="47" spans="1:1" ht="23.25">
      <c r="A47" s="29" t="s">
        <v>638</v>
      </c>
    </row>
    <row r="48" spans="1:1">
      <c r="A48" s="18"/>
    </row>
    <row r="49" spans="1:1">
      <c r="A49" s="18" t="s">
        <v>639</v>
      </c>
    </row>
    <row r="50" spans="1:1">
      <c r="A50" s="18" t="s">
        <v>640</v>
      </c>
    </row>
    <row r="51" spans="1:1">
      <c r="A51" s="18"/>
    </row>
    <row r="52" spans="1:1">
      <c r="A52" s="18" t="s">
        <v>641</v>
      </c>
    </row>
    <row r="53" spans="1:1">
      <c r="A53" s="18" t="s">
        <v>642</v>
      </c>
    </row>
    <row r="54" spans="1:1">
      <c r="A54" s="18"/>
    </row>
    <row r="55" spans="1:1">
      <c r="A55" s="18" t="s">
        <v>643</v>
      </c>
    </row>
    <row r="56" spans="1:1">
      <c r="A56" s="18" t="s">
        <v>644</v>
      </c>
    </row>
    <row r="60" spans="1:1" ht="23.25">
      <c r="A60" s="29" t="s">
        <v>645</v>
      </c>
    </row>
    <row r="61" spans="1:1">
      <c r="A61" s="18"/>
    </row>
    <row r="62" spans="1:1">
      <c r="A62" s="18" t="s">
        <v>646</v>
      </c>
    </row>
    <row r="63" spans="1:1">
      <c r="A63" s="18" t="s">
        <v>647</v>
      </c>
    </row>
    <row r="64" spans="1:1">
      <c r="A64" s="18"/>
    </row>
    <row r="65" spans="1:1">
      <c r="A65" s="18" t="s">
        <v>648</v>
      </c>
    </row>
    <row r="66" spans="1:1">
      <c r="A66" s="18" t="s">
        <v>649</v>
      </c>
    </row>
    <row r="70" spans="1:1" ht="23.25">
      <c r="A70" s="29" t="s">
        <v>650</v>
      </c>
    </row>
    <row r="71" spans="1:1">
      <c r="A71" s="18"/>
    </row>
    <row r="72" spans="1:1">
      <c r="A72" s="18" t="s">
        <v>651</v>
      </c>
    </row>
    <row r="73" spans="1:1">
      <c r="A73" s="18"/>
    </row>
    <row r="74" spans="1:1">
      <c r="A74" s="18" t="s">
        <v>652</v>
      </c>
    </row>
    <row r="75" spans="1:1">
      <c r="A75" s="18"/>
    </row>
    <row r="76" spans="1:1">
      <c r="A76" s="18" t="s">
        <v>653</v>
      </c>
    </row>
    <row r="77" spans="1:1">
      <c r="A77" s="18"/>
    </row>
    <row r="78" spans="1:1">
      <c r="A78" s="18" t="s">
        <v>654</v>
      </c>
    </row>
    <row r="79" spans="1:1">
      <c r="A79" s="18"/>
    </row>
    <row r="80" spans="1:1">
      <c r="A80" s="18" t="s">
        <v>655</v>
      </c>
    </row>
    <row r="81" spans="1:1">
      <c r="A81" s="18"/>
    </row>
    <row r="82" spans="1:1">
      <c r="A82" s="18" t="s">
        <v>656</v>
      </c>
    </row>
    <row r="83" spans="1:1">
      <c r="A83" s="18"/>
    </row>
    <row r="84" spans="1:1">
      <c r="A84" s="18" t="s">
        <v>657</v>
      </c>
    </row>
    <row r="85" spans="1:1">
      <c r="A85" s="18"/>
    </row>
    <row r="86" spans="1:1">
      <c r="A86" s="18" t="s">
        <v>658</v>
      </c>
    </row>
    <row r="87" spans="1:1">
      <c r="A87" s="18"/>
    </row>
    <row r="88" spans="1:1">
      <c r="A88" s="18" t="s">
        <v>659</v>
      </c>
    </row>
    <row r="89" spans="1:1">
      <c r="A89" s="18"/>
    </row>
    <row r="90" spans="1:1">
      <c r="A90" s="18" t="s">
        <v>660</v>
      </c>
    </row>
    <row r="91" spans="1:1">
      <c r="A91" s="18"/>
    </row>
    <row r="92" spans="1:1">
      <c r="A92" s="18" t="s">
        <v>661</v>
      </c>
    </row>
    <row r="93" spans="1:1">
      <c r="A93" s="18"/>
    </row>
    <row r="94" spans="1:1">
      <c r="A94" s="18" t="s">
        <v>662</v>
      </c>
    </row>
    <row r="95" spans="1:1">
      <c r="A95" s="18"/>
    </row>
    <row r="96" spans="1:1">
      <c r="A96" s="18" t="s">
        <v>663</v>
      </c>
    </row>
    <row r="97" spans="1:1">
      <c r="A97" s="18"/>
    </row>
    <row r="98" spans="1:1">
      <c r="A98" s="18" t="s">
        <v>664</v>
      </c>
    </row>
    <row r="99" spans="1:1">
      <c r="A99" s="18"/>
    </row>
    <row r="100" spans="1:1">
      <c r="A100" s="18" t="s">
        <v>665</v>
      </c>
    </row>
    <row r="101" spans="1:1">
      <c r="A101" s="18"/>
    </row>
    <row r="102" spans="1:1">
      <c r="A102" s="18" t="s">
        <v>666</v>
      </c>
    </row>
    <row r="103" spans="1:1">
      <c r="A103" s="18"/>
    </row>
    <row r="104" spans="1:1">
      <c r="A104" s="18" t="s">
        <v>667</v>
      </c>
    </row>
    <row r="105" spans="1:1">
      <c r="A105" s="18"/>
    </row>
    <row r="106" spans="1:1">
      <c r="A106" s="18" t="s">
        <v>668</v>
      </c>
    </row>
    <row r="107" spans="1:1">
      <c r="A107" s="18"/>
    </row>
    <row r="108" spans="1:1">
      <c r="A108" s="18" t="s">
        <v>669</v>
      </c>
    </row>
    <row r="109" spans="1:1">
      <c r="A109" s="18"/>
    </row>
    <row r="110" spans="1:1">
      <c r="A110" s="18" t="s">
        <v>670</v>
      </c>
    </row>
    <row r="111" spans="1:1">
      <c r="A111" s="18"/>
    </row>
    <row r="112" spans="1:1">
      <c r="A112" s="18" t="s">
        <v>671</v>
      </c>
    </row>
    <row r="116" spans="1:1" ht="30.75">
      <c r="A116" s="47" t="s">
        <v>672</v>
      </c>
    </row>
    <row r="117" spans="1:1">
      <c r="A117" s="18"/>
    </row>
    <row r="118" spans="1:1">
      <c r="A118" s="18" t="s">
        <v>673</v>
      </c>
    </row>
    <row r="119" spans="1:1">
      <c r="A119" s="18" t="s">
        <v>674</v>
      </c>
    </row>
    <row r="120" spans="1:1">
      <c r="A120" s="18"/>
    </row>
    <row r="121" spans="1:1">
      <c r="A121" s="18" t="s">
        <v>675</v>
      </c>
    </row>
    <row r="122" spans="1:1">
      <c r="A122" s="18" t="s">
        <v>676</v>
      </c>
    </row>
    <row r="123" spans="1:1">
      <c r="A123" s="18"/>
    </row>
    <row r="124" spans="1:1">
      <c r="A124" s="18" t="s">
        <v>677</v>
      </c>
    </row>
    <row r="125" spans="1:1">
      <c r="A125" s="18" t="s">
        <v>676</v>
      </c>
    </row>
    <row r="126" spans="1:1">
      <c r="A126" s="18"/>
    </row>
    <row r="127" spans="1:1">
      <c r="A127" s="18" t="s">
        <v>678</v>
      </c>
    </row>
    <row r="128" spans="1:1">
      <c r="A128" s="18" t="s">
        <v>679</v>
      </c>
    </row>
    <row r="129" spans="1:1">
      <c r="A129" s="18" t="s">
        <v>680</v>
      </c>
    </row>
    <row r="130" spans="1:1">
      <c r="A130" s="18"/>
    </row>
    <row r="131" spans="1:1">
      <c r="A131" s="18" t="s">
        <v>681</v>
      </c>
    </row>
    <row r="132" spans="1:1">
      <c r="A132" s="18"/>
    </row>
    <row r="133" spans="1:1">
      <c r="A133" s="18" t="s">
        <v>682</v>
      </c>
    </row>
    <row r="134" spans="1:1">
      <c r="A134" s="18"/>
    </row>
    <row r="135" spans="1:1">
      <c r="A135" s="18" t="s">
        <v>683</v>
      </c>
    </row>
    <row r="136" spans="1:1">
      <c r="A136" s="18"/>
    </row>
    <row r="137" spans="1:1">
      <c r="A137" s="18" t="s">
        <v>684</v>
      </c>
    </row>
    <row r="138" spans="1:1">
      <c r="A138" s="18"/>
    </row>
    <row r="139" spans="1:1">
      <c r="A139" s="18" t="s">
        <v>685</v>
      </c>
    </row>
    <row r="140" spans="1:1">
      <c r="A140" s="18"/>
    </row>
    <row r="141" spans="1:1">
      <c r="A141" s="18" t="s">
        <v>686</v>
      </c>
    </row>
    <row r="142" spans="1:1">
      <c r="A142" s="18"/>
    </row>
    <row r="143" spans="1:1">
      <c r="A143" s="18" t="s">
        <v>687</v>
      </c>
    </row>
    <row r="144" spans="1:1">
      <c r="A144" s="18"/>
    </row>
    <row r="145" spans="1:1">
      <c r="A145" s="18" t="s">
        <v>688</v>
      </c>
    </row>
    <row r="146" spans="1:1">
      <c r="A146" s="18"/>
    </row>
    <row r="147" spans="1:1">
      <c r="A147" s="18" t="s">
        <v>689</v>
      </c>
    </row>
    <row r="148" spans="1:1">
      <c r="A148" s="18"/>
    </row>
    <row r="149" spans="1:1">
      <c r="A149" s="18" t="s">
        <v>690</v>
      </c>
    </row>
    <row r="150" spans="1:1">
      <c r="A150" s="18" t="s">
        <v>674</v>
      </c>
    </row>
    <row r="151" spans="1:1">
      <c r="A151" s="18"/>
    </row>
    <row r="152" spans="1:1">
      <c r="A152" s="18" t="s">
        <v>691</v>
      </c>
    </row>
    <row r="153" spans="1:1">
      <c r="A153" s="18" t="s">
        <v>566</v>
      </c>
    </row>
    <row r="154" spans="1:1">
      <c r="A154" s="18"/>
    </row>
    <row r="155" spans="1:1">
      <c r="A155" s="18" t="s">
        <v>692</v>
      </c>
    </row>
    <row r="156" spans="1:1">
      <c r="A156" s="18" t="s">
        <v>566</v>
      </c>
    </row>
    <row r="157" spans="1:1">
      <c r="A157" s="18"/>
    </row>
    <row r="158" spans="1:1">
      <c r="A158" s="18" t="s">
        <v>693</v>
      </c>
    </row>
    <row r="159" spans="1:1">
      <c r="A159" s="18" t="s">
        <v>694</v>
      </c>
    </row>
    <row r="160" spans="1:1">
      <c r="A160" s="18" t="s">
        <v>695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577C-6BE2-4961-9CB6-3A69D89B4108}">
  <dimension ref="A1:Q51"/>
  <sheetViews>
    <sheetView topLeftCell="A7" workbookViewId="0">
      <selection activeCell="J18" sqref="J18"/>
    </sheetView>
  </sheetViews>
  <sheetFormatPr defaultRowHeight="16.5"/>
  <cols>
    <col min="2" max="2" width="9.375" customWidth="1"/>
    <col min="9" max="10" width="8.625" bestFit="1" customWidth="1"/>
    <col min="11" max="11" width="11.625" bestFit="1" customWidth="1"/>
    <col min="12" max="12" width="39.125" bestFit="1" customWidth="1"/>
    <col min="14" max="15" width="10.25" bestFit="1" customWidth="1"/>
  </cols>
  <sheetData>
    <row r="1" spans="1:17">
      <c r="A1" s="33" t="s">
        <v>77</v>
      </c>
      <c r="B1" s="33" t="s">
        <v>78</v>
      </c>
      <c r="C1" s="33" t="s">
        <v>106</v>
      </c>
      <c r="D1" s="33" t="s">
        <v>563</v>
      </c>
      <c r="E1" s="33" t="s">
        <v>81</v>
      </c>
      <c r="F1" s="33" t="s">
        <v>82</v>
      </c>
      <c r="G1" s="33" t="s">
        <v>564</v>
      </c>
      <c r="H1" s="34" t="s">
        <v>565</v>
      </c>
      <c r="J1" s="34" t="s">
        <v>566</v>
      </c>
      <c r="L1" s="19" t="s">
        <v>99</v>
      </c>
    </row>
    <row r="2" spans="1:17">
      <c r="A2" t="s">
        <v>84</v>
      </c>
      <c r="B2" t="s">
        <v>85</v>
      </c>
      <c r="C2">
        <v>87</v>
      </c>
      <c r="D2">
        <v>76</v>
      </c>
      <c r="E2">
        <v>118</v>
      </c>
      <c r="F2">
        <v>59</v>
      </c>
      <c r="L2" s="18" t="s">
        <v>100</v>
      </c>
    </row>
    <row r="3" spans="1:17">
      <c r="A3" t="s">
        <v>86</v>
      </c>
      <c r="B3" t="s">
        <v>85</v>
      </c>
      <c r="C3">
        <v>74</v>
      </c>
      <c r="D3">
        <v>91</v>
      </c>
      <c r="E3">
        <v>165</v>
      </c>
      <c r="F3">
        <v>82.5</v>
      </c>
      <c r="L3" s="20" t="s">
        <v>101</v>
      </c>
      <c r="N3" s="35" t="s">
        <v>565</v>
      </c>
      <c r="O3" s="36"/>
      <c r="P3" s="37"/>
      <c r="Q3" s="38"/>
    </row>
    <row r="4" spans="1:17">
      <c r="A4" t="s">
        <v>88</v>
      </c>
      <c r="B4" t="s">
        <v>89</v>
      </c>
      <c r="C4">
        <v>94</v>
      </c>
      <c r="D4">
        <v>86</v>
      </c>
      <c r="E4">
        <v>180</v>
      </c>
      <c r="F4">
        <v>90</v>
      </c>
      <c r="N4" s="39" t="s">
        <v>567</v>
      </c>
      <c r="O4" s="39" t="s">
        <v>568</v>
      </c>
      <c r="P4" s="39" t="s">
        <v>569</v>
      </c>
    </row>
    <row r="5" spans="1:17">
      <c r="A5" t="s">
        <v>91</v>
      </c>
      <c r="B5" t="s">
        <v>92</v>
      </c>
      <c r="C5">
        <v>45</v>
      </c>
      <c r="D5">
        <v>35</v>
      </c>
      <c r="E5">
        <v>73</v>
      </c>
      <c r="F5">
        <v>36.5</v>
      </c>
      <c r="N5" s="26" t="s">
        <v>570</v>
      </c>
      <c r="O5" s="26" t="s">
        <v>570</v>
      </c>
      <c r="P5" s="26" t="b">
        <v>1</v>
      </c>
    </row>
    <row r="6" spans="1:17">
      <c r="A6" t="s">
        <v>84</v>
      </c>
      <c r="B6" t="s">
        <v>94</v>
      </c>
      <c r="C6">
        <v>30</v>
      </c>
      <c r="D6">
        <v>57</v>
      </c>
      <c r="E6">
        <v>87</v>
      </c>
      <c r="F6">
        <v>43.5</v>
      </c>
      <c r="N6" s="26" t="s">
        <v>570</v>
      </c>
      <c r="O6" s="26" t="s">
        <v>571</v>
      </c>
      <c r="P6" s="26" t="b">
        <v>0</v>
      </c>
    </row>
    <row r="7" spans="1:17">
      <c r="A7" t="s">
        <v>95</v>
      </c>
      <c r="B7" t="s">
        <v>89</v>
      </c>
      <c r="C7">
        <v>37</v>
      </c>
      <c r="D7">
        <v>57</v>
      </c>
      <c r="E7">
        <v>94</v>
      </c>
      <c r="F7">
        <v>47</v>
      </c>
      <c r="N7" s="26" t="s">
        <v>571</v>
      </c>
      <c r="O7" s="26" t="s">
        <v>571</v>
      </c>
      <c r="P7" s="26" t="b">
        <v>0</v>
      </c>
    </row>
    <row r="8" spans="1:17">
      <c r="A8" t="s">
        <v>96</v>
      </c>
      <c r="B8" t="s">
        <v>94</v>
      </c>
      <c r="C8">
        <v>92</v>
      </c>
      <c r="D8">
        <v>73</v>
      </c>
      <c r="E8">
        <v>165</v>
      </c>
      <c r="F8">
        <v>82.5</v>
      </c>
    </row>
    <row r="9" spans="1:17">
      <c r="A9" t="s">
        <v>84</v>
      </c>
      <c r="B9" t="s">
        <v>94</v>
      </c>
      <c r="C9">
        <v>40</v>
      </c>
      <c r="D9">
        <v>59</v>
      </c>
      <c r="E9">
        <v>99</v>
      </c>
      <c r="F9">
        <v>49.5</v>
      </c>
    </row>
    <row r="10" spans="1:17">
      <c r="A10" t="s">
        <v>88</v>
      </c>
      <c r="B10" t="s">
        <v>89</v>
      </c>
      <c r="C10">
        <v>37</v>
      </c>
      <c r="D10">
        <v>91</v>
      </c>
      <c r="E10">
        <v>128</v>
      </c>
      <c r="F10">
        <v>64</v>
      </c>
    </row>
    <row r="11" spans="1:17">
      <c r="A11" t="s">
        <v>91</v>
      </c>
      <c r="B11" t="s">
        <v>89</v>
      </c>
      <c r="C11">
        <v>64</v>
      </c>
      <c r="D11">
        <v>91</v>
      </c>
      <c r="E11">
        <v>155</v>
      </c>
      <c r="F11">
        <v>77.5</v>
      </c>
      <c r="N11" s="44" t="s">
        <v>566</v>
      </c>
      <c r="O11" s="45"/>
      <c r="P11" s="45"/>
      <c r="Q11" s="40"/>
    </row>
    <row r="12" spans="1:17">
      <c r="A12" t="s">
        <v>86</v>
      </c>
      <c r="B12" t="s">
        <v>89</v>
      </c>
      <c r="C12">
        <v>64</v>
      </c>
      <c r="D12">
        <v>30</v>
      </c>
      <c r="E12">
        <v>94</v>
      </c>
      <c r="F12">
        <v>47</v>
      </c>
      <c r="N12" s="39" t="s">
        <v>567</v>
      </c>
      <c r="O12" s="39" t="s">
        <v>568</v>
      </c>
      <c r="P12" s="39" t="s">
        <v>569</v>
      </c>
    </row>
    <row r="13" spans="1:17">
      <c r="A13" t="s">
        <v>88</v>
      </c>
      <c r="B13" t="s">
        <v>89</v>
      </c>
      <c r="C13">
        <v>62</v>
      </c>
      <c r="D13">
        <v>56</v>
      </c>
      <c r="E13">
        <v>118</v>
      </c>
      <c r="F13">
        <v>59</v>
      </c>
      <c r="N13" s="26" t="s">
        <v>570</v>
      </c>
      <c r="O13" s="26" t="s">
        <v>570</v>
      </c>
      <c r="P13" s="26" t="b">
        <v>1</v>
      </c>
    </row>
    <row r="14" spans="1:17">
      <c r="A14" t="s">
        <v>88</v>
      </c>
      <c r="B14" t="s">
        <v>89</v>
      </c>
      <c r="C14">
        <v>34</v>
      </c>
      <c r="D14">
        <v>91</v>
      </c>
      <c r="E14">
        <v>125</v>
      </c>
      <c r="F14">
        <v>62.5</v>
      </c>
      <c r="N14" s="26" t="s">
        <v>570</v>
      </c>
      <c r="O14" s="26" t="s">
        <v>571</v>
      </c>
      <c r="P14" s="26" t="b">
        <v>1</v>
      </c>
    </row>
    <row r="15" spans="1:17">
      <c r="A15" t="s">
        <v>96</v>
      </c>
      <c r="B15" t="s">
        <v>94</v>
      </c>
      <c r="C15">
        <v>70</v>
      </c>
      <c r="D15">
        <v>32</v>
      </c>
      <c r="E15">
        <v>102</v>
      </c>
      <c r="F15">
        <v>51</v>
      </c>
      <c r="N15" s="26" t="s">
        <v>571</v>
      </c>
      <c r="O15" s="26" t="s">
        <v>571</v>
      </c>
      <c r="P15" s="26" t="b">
        <v>0</v>
      </c>
    </row>
    <row r="16" spans="1:17">
      <c r="A16" t="s">
        <v>102</v>
      </c>
      <c r="B16" t="s">
        <v>89</v>
      </c>
      <c r="C16">
        <v>57</v>
      </c>
      <c r="D16">
        <v>99</v>
      </c>
      <c r="E16">
        <v>156</v>
      </c>
      <c r="F16">
        <v>78</v>
      </c>
    </row>
    <row r="17" spans="1:6">
      <c r="A17" t="s">
        <v>91</v>
      </c>
      <c r="B17" t="s">
        <v>92</v>
      </c>
      <c r="C17">
        <v>36</v>
      </c>
      <c r="D17">
        <v>56</v>
      </c>
      <c r="E17">
        <v>92</v>
      </c>
      <c r="F17">
        <v>46</v>
      </c>
    </row>
    <row r="18" spans="1:6">
      <c r="A18" t="s">
        <v>103</v>
      </c>
      <c r="B18" t="s">
        <v>85</v>
      </c>
      <c r="C18">
        <v>41</v>
      </c>
      <c r="D18">
        <v>38</v>
      </c>
      <c r="E18">
        <v>79</v>
      </c>
      <c r="F18">
        <v>39.5</v>
      </c>
    </row>
    <row r="19" spans="1:6">
      <c r="A19" t="s">
        <v>88</v>
      </c>
      <c r="B19" t="s">
        <v>89</v>
      </c>
      <c r="C19">
        <v>63</v>
      </c>
      <c r="D19">
        <v>91</v>
      </c>
      <c r="E19">
        <v>154</v>
      </c>
      <c r="F19">
        <v>77</v>
      </c>
    </row>
    <row r="20" spans="1:6">
      <c r="A20" t="s">
        <v>102</v>
      </c>
      <c r="B20" t="s">
        <v>89</v>
      </c>
      <c r="C20">
        <v>62</v>
      </c>
      <c r="D20">
        <v>66</v>
      </c>
      <c r="E20">
        <v>128</v>
      </c>
      <c r="F20">
        <v>64</v>
      </c>
    </row>
    <row r="21" spans="1:6">
      <c r="A21" t="s">
        <v>103</v>
      </c>
      <c r="B21" t="s">
        <v>94</v>
      </c>
      <c r="C21">
        <v>77</v>
      </c>
      <c r="D21">
        <v>80</v>
      </c>
      <c r="E21">
        <v>157</v>
      </c>
      <c r="F21">
        <v>78.5</v>
      </c>
    </row>
    <row r="22" spans="1:6">
      <c r="A22" t="s">
        <v>91</v>
      </c>
      <c r="B22" t="s">
        <v>89</v>
      </c>
      <c r="C22">
        <v>52</v>
      </c>
      <c r="D22">
        <v>73</v>
      </c>
      <c r="E22">
        <v>125</v>
      </c>
      <c r="F22">
        <v>62.5</v>
      </c>
    </row>
    <row r="23" spans="1:6">
      <c r="A23" t="s">
        <v>104</v>
      </c>
      <c r="B23" t="s">
        <v>89</v>
      </c>
      <c r="C23">
        <v>91</v>
      </c>
      <c r="D23">
        <v>53</v>
      </c>
      <c r="E23">
        <v>144</v>
      </c>
      <c r="F23">
        <v>72</v>
      </c>
    </row>
    <row r="24" spans="1:6">
      <c r="A24" t="s">
        <v>95</v>
      </c>
      <c r="B24" t="s">
        <v>89</v>
      </c>
      <c r="C24">
        <v>66</v>
      </c>
      <c r="D24">
        <v>88</v>
      </c>
      <c r="E24">
        <v>154</v>
      </c>
      <c r="F24">
        <v>77</v>
      </c>
    </row>
    <row r="25" spans="1:6">
      <c r="A25" t="s">
        <v>102</v>
      </c>
      <c r="B25" t="s">
        <v>94</v>
      </c>
      <c r="C25">
        <v>73</v>
      </c>
      <c r="D25">
        <v>61</v>
      </c>
      <c r="E25">
        <v>134</v>
      </c>
      <c r="F25">
        <v>67</v>
      </c>
    </row>
    <row r="26" spans="1:6">
      <c r="A26" t="s">
        <v>105</v>
      </c>
      <c r="B26" t="s">
        <v>89</v>
      </c>
      <c r="C26">
        <v>64</v>
      </c>
      <c r="D26">
        <v>81</v>
      </c>
      <c r="E26">
        <v>145</v>
      </c>
      <c r="F26">
        <v>72.5</v>
      </c>
    </row>
    <row r="27" spans="1:6">
      <c r="A27" t="s">
        <v>104</v>
      </c>
      <c r="B27" t="s">
        <v>85</v>
      </c>
      <c r="C27">
        <v>94</v>
      </c>
      <c r="D27">
        <v>91</v>
      </c>
      <c r="E27">
        <v>185</v>
      </c>
      <c r="F27">
        <v>92.5</v>
      </c>
    </row>
    <row r="28" spans="1:6">
      <c r="A28" t="s">
        <v>95</v>
      </c>
      <c r="B28" t="s">
        <v>94</v>
      </c>
      <c r="C28">
        <v>76</v>
      </c>
      <c r="D28">
        <v>87</v>
      </c>
      <c r="E28">
        <v>163</v>
      </c>
      <c r="F28">
        <v>81.5</v>
      </c>
    </row>
    <row r="29" spans="1:6">
      <c r="A29" t="s">
        <v>96</v>
      </c>
      <c r="B29" t="s">
        <v>85</v>
      </c>
      <c r="C29">
        <v>32</v>
      </c>
      <c r="D29">
        <v>81</v>
      </c>
      <c r="E29">
        <v>113</v>
      </c>
      <c r="F29">
        <v>56.5</v>
      </c>
    </row>
    <row r="30" spans="1:6">
      <c r="A30" t="s">
        <v>84</v>
      </c>
      <c r="B30" t="s">
        <v>94</v>
      </c>
      <c r="C30">
        <v>30</v>
      </c>
      <c r="D30">
        <v>41</v>
      </c>
      <c r="E30">
        <v>71</v>
      </c>
      <c r="F30">
        <v>35.5</v>
      </c>
    </row>
    <row r="31" spans="1:6">
      <c r="A31" t="s">
        <v>86</v>
      </c>
      <c r="B31" t="s">
        <v>89</v>
      </c>
      <c r="C31">
        <v>34</v>
      </c>
      <c r="D31">
        <v>68</v>
      </c>
      <c r="E31">
        <v>102</v>
      </c>
      <c r="F31">
        <v>51</v>
      </c>
    </row>
    <row r="32" spans="1:6">
      <c r="A32" t="s">
        <v>105</v>
      </c>
      <c r="B32" t="s">
        <v>85</v>
      </c>
      <c r="C32">
        <v>43</v>
      </c>
      <c r="D32">
        <v>31</v>
      </c>
      <c r="E32">
        <v>74</v>
      </c>
      <c r="F32">
        <v>37</v>
      </c>
    </row>
    <row r="33" spans="1:6">
      <c r="A33" t="s">
        <v>96</v>
      </c>
      <c r="B33" t="s">
        <v>94</v>
      </c>
      <c r="C33">
        <v>56</v>
      </c>
      <c r="D33">
        <v>32</v>
      </c>
      <c r="E33">
        <v>88</v>
      </c>
      <c r="F33">
        <v>44</v>
      </c>
    </row>
    <row r="34" spans="1:6">
      <c r="A34" t="s">
        <v>91</v>
      </c>
      <c r="B34" t="s">
        <v>92</v>
      </c>
      <c r="C34">
        <v>38</v>
      </c>
      <c r="D34">
        <v>85</v>
      </c>
      <c r="E34">
        <v>123</v>
      </c>
      <c r="F34">
        <v>61.5</v>
      </c>
    </row>
    <row r="35" spans="1:6">
      <c r="A35" t="s">
        <v>96</v>
      </c>
      <c r="B35" t="s">
        <v>89</v>
      </c>
      <c r="C35">
        <v>44</v>
      </c>
      <c r="D35">
        <v>88</v>
      </c>
      <c r="E35">
        <v>132</v>
      </c>
      <c r="F35">
        <v>66</v>
      </c>
    </row>
    <row r="36" spans="1:6">
      <c r="A36" t="s">
        <v>84</v>
      </c>
      <c r="B36" t="s">
        <v>94</v>
      </c>
      <c r="C36">
        <v>71</v>
      </c>
      <c r="D36">
        <v>31</v>
      </c>
      <c r="E36">
        <v>102</v>
      </c>
      <c r="F36">
        <v>51</v>
      </c>
    </row>
    <row r="37" spans="1:6">
      <c r="A37" t="s">
        <v>91</v>
      </c>
      <c r="B37" t="s">
        <v>92</v>
      </c>
      <c r="C37">
        <v>80</v>
      </c>
      <c r="D37">
        <v>31</v>
      </c>
      <c r="E37">
        <v>111</v>
      </c>
      <c r="F37">
        <v>55.5</v>
      </c>
    </row>
    <row r="38" spans="1:6">
      <c r="A38" t="s">
        <v>105</v>
      </c>
      <c r="B38" t="s">
        <v>94</v>
      </c>
      <c r="C38">
        <v>92</v>
      </c>
      <c r="D38">
        <v>83</v>
      </c>
      <c r="E38">
        <v>175</v>
      </c>
      <c r="F38">
        <v>87.5</v>
      </c>
    </row>
    <row r="39" spans="1:6">
      <c r="A39" t="s">
        <v>84</v>
      </c>
      <c r="B39" t="s">
        <v>92</v>
      </c>
      <c r="C39">
        <v>81</v>
      </c>
      <c r="D39">
        <v>30</v>
      </c>
      <c r="E39">
        <v>111</v>
      </c>
      <c r="F39">
        <v>55.5</v>
      </c>
    </row>
    <row r="40" spans="1:6">
      <c r="A40" t="s">
        <v>103</v>
      </c>
      <c r="B40" t="s">
        <v>89</v>
      </c>
      <c r="C40">
        <v>33</v>
      </c>
      <c r="D40">
        <v>48</v>
      </c>
      <c r="E40">
        <v>81</v>
      </c>
      <c r="F40">
        <v>40.5</v>
      </c>
    </row>
    <row r="41" spans="1:6">
      <c r="A41" t="s">
        <v>86</v>
      </c>
      <c r="B41" t="s">
        <v>85</v>
      </c>
      <c r="C41">
        <v>52</v>
      </c>
      <c r="D41">
        <v>31</v>
      </c>
      <c r="E41">
        <v>83</v>
      </c>
      <c r="F41">
        <v>41.5</v>
      </c>
    </row>
    <row r="42" spans="1:6">
      <c r="A42" t="s">
        <v>105</v>
      </c>
      <c r="B42" t="s">
        <v>92</v>
      </c>
      <c r="C42">
        <v>44</v>
      </c>
      <c r="D42">
        <v>82</v>
      </c>
      <c r="E42">
        <v>126</v>
      </c>
      <c r="F42">
        <v>63</v>
      </c>
    </row>
    <row r="43" spans="1:6">
      <c r="A43" t="s">
        <v>103</v>
      </c>
      <c r="B43" t="s">
        <v>94</v>
      </c>
      <c r="C43">
        <v>72</v>
      </c>
      <c r="D43">
        <v>73</v>
      </c>
      <c r="E43">
        <v>145</v>
      </c>
      <c r="F43">
        <v>72.5</v>
      </c>
    </row>
    <row r="44" spans="1:6">
      <c r="A44" t="s">
        <v>95</v>
      </c>
      <c r="B44" t="s">
        <v>89</v>
      </c>
      <c r="C44">
        <v>58</v>
      </c>
      <c r="D44">
        <v>61</v>
      </c>
      <c r="E44">
        <v>119</v>
      </c>
      <c r="F44">
        <v>59.5</v>
      </c>
    </row>
    <row r="45" spans="1:6">
      <c r="A45" t="s">
        <v>105</v>
      </c>
      <c r="B45" t="s">
        <v>92</v>
      </c>
      <c r="C45">
        <v>65</v>
      </c>
      <c r="D45">
        <v>99</v>
      </c>
      <c r="E45">
        <v>164</v>
      </c>
      <c r="F45">
        <v>82</v>
      </c>
    </row>
    <row r="46" spans="1:6">
      <c r="A46" t="s">
        <v>95</v>
      </c>
      <c r="B46" t="s">
        <v>94</v>
      </c>
      <c r="C46">
        <v>42</v>
      </c>
      <c r="D46">
        <v>61</v>
      </c>
      <c r="E46">
        <v>103</v>
      </c>
      <c r="F46">
        <v>51.5</v>
      </c>
    </row>
    <row r="47" spans="1:6">
      <c r="A47" t="s">
        <v>91</v>
      </c>
      <c r="B47" t="s">
        <v>94</v>
      </c>
      <c r="C47">
        <v>61</v>
      </c>
      <c r="D47">
        <v>97</v>
      </c>
      <c r="E47">
        <v>158</v>
      </c>
      <c r="F47">
        <v>79</v>
      </c>
    </row>
    <row r="48" spans="1:6">
      <c r="A48" t="s">
        <v>103</v>
      </c>
      <c r="B48" t="s">
        <v>94</v>
      </c>
      <c r="C48">
        <v>88</v>
      </c>
      <c r="D48">
        <v>84</v>
      </c>
      <c r="E48">
        <v>172</v>
      </c>
      <c r="F48">
        <v>86</v>
      </c>
    </row>
    <row r="49" spans="1:11">
      <c r="A49" t="s">
        <v>86</v>
      </c>
      <c r="B49" t="s">
        <v>92</v>
      </c>
      <c r="C49">
        <v>57</v>
      </c>
      <c r="D49">
        <v>85</v>
      </c>
      <c r="E49">
        <v>142</v>
      </c>
      <c r="F49">
        <v>71</v>
      </c>
    </row>
    <row r="50" spans="1:11">
      <c r="A50" t="s">
        <v>84</v>
      </c>
      <c r="B50" t="s">
        <v>92</v>
      </c>
      <c r="C50">
        <v>95</v>
      </c>
      <c r="D50">
        <v>46</v>
      </c>
      <c r="E50">
        <v>141</v>
      </c>
      <c r="F50">
        <v>70.5</v>
      </c>
    </row>
    <row r="51" spans="1:11">
      <c r="A51" t="s">
        <v>88</v>
      </c>
      <c r="B51" t="s">
        <v>92</v>
      </c>
      <c r="C51">
        <v>71</v>
      </c>
      <c r="D51">
        <v>67</v>
      </c>
      <c r="E51">
        <v>138</v>
      </c>
      <c r="F51">
        <v>69</v>
      </c>
      <c r="K51" t="b">
        <f>OR(F51&gt;=40,G51&gt;=40)</f>
        <v>1</v>
      </c>
    </row>
  </sheetData>
  <mergeCells count="1">
    <mergeCell ref="N11:P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FC65-9913-488B-A499-E306703BC9FC}">
  <dimension ref="A1:L52"/>
  <sheetViews>
    <sheetView topLeftCell="A31" workbookViewId="0">
      <selection activeCell="K14" sqref="K14"/>
    </sheetView>
  </sheetViews>
  <sheetFormatPr defaultRowHeight="16.5"/>
  <sheetData>
    <row r="1" spans="1:12">
      <c r="A1" s="46" t="s">
        <v>580</v>
      </c>
      <c r="B1" s="46"/>
      <c r="C1" s="46"/>
      <c r="D1" s="46"/>
      <c r="E1" s="46"/>
      <c r="F1" s="46"/>
      <c r="G1" s="46"/>
    </row>
    <row r="2" spans="1:12" ht="33">
      <c r="A2" s="41" t="s">
        <v>581</v>
      </c>
      <c r="B2" s="16" t="s">
        <v>78</v>
      </c>
      <c r="C2" s="16" t="s">
        <v>106</v>
      </c>
      <c r="D2" s="16" t="s">
        <v>80</v>
      </c>
      <c r="E2" s="16" t="s">
        <v>81</v>
      </c>
      <c r="F2" s="16" t="s">
        <v>82</v>
      </c>
      <c r="G2" s="16" t="s">
        <v>582</v>
      </c>
      <c r="K2" s="42" t="s">
        <v>583</v>
      </c>
    </row>
    <row r="3" spans="1:12">
      <c r="A3" s="43" t="s">
        <v>84</v>
      </c>
      <c r="B3" s="43" t="s">
        <v>85</v>
      </c>
      <c r="C3" s="43">
        <v>21</v>
      </c>
      <c r="D3" s="43">
        <v>74</v>
      </c>
      <c r="E3" s="43">
        <v>118</v>
      </c>
      <c r="F3" s="43">
        <v>59</v>
      </c>
      <c r="G3" s="43" t="s">
        <v>584</v>
      </c>
      <c r="H3" s="43" t="str">
        <f>IF(C3&gt;=90,"A",IF(C3&gt;=75,"B",IF(C3&gt;=40,"C","Fail")))</f>
        <v>Fail</v>
      </c>
      <c r="I3" s="43" t="str">
        <f>IF(C3&gt;=85,"A",(IF(C3&gt;=60,"B",IF(C3&gt;=35,"C","Fail"))))</f>
        <v>Fail</v>
      </c>
    </row>
    <row r="4" spans="1:12">
      <c r="A4" t="s">
        <v>86</v>
      </c>
      <c r="B4" t="s">
        <v>85</v>
      </c>
      <c r="C4">
        <v>91</v>
      </c>
      <c r="D4">
        <v>91</v>
      </c>
      <c r="E4">
        <v>165</v>
      </c>
      <c r="F4">
        <v>82.5</v>
      </c>
      <c r="G4" t="s">
        <v>585</v>
      </c>
      <c r="H4" t="str">
        <f t="shared" ref="H4:H52" si="0">IF(C4&gt;=90,"A",IF(C4&gt;=75,"B",IF(C4&gt;=40,"C","Fail")))</f>
        <v>A</v>
      </c>
      <c r="I4" t="str">
        <f t="shared" ref="I4:I52" si="1">IF(C4&gt;=85,"A",(IF(C4&gt;=60,"B",IF(C4&gt;=35,"C","Fail"))))</f>
        <v>A</v>
      </c>
      <c r="J4">
        <v>90</v>
      </c>
      <c r="K4" t="s">
        <v>586</v>
      </c>
      <c r="L4" t="s">
        <v>587</v>
      </c>
    </row>
    <row r="5" spans="1:12">
      <c r="A5" t="s">
        <v>88</v>
      </c>
      <c r="B5" t="s">
        <v>89</v>
      </c>
      <c r="C5">
        <v>94</v>
      </c>
      <c r="D5">
        <v>86</v>
      </c>
      <c r="E5">
        <v>180</v>
      </c>
      <c r="F5">
        <v>90</v>
      </c>
      <c r="G5" t="s">
        <v>587</v>
      </c>
      <c r="H5" t="str">
        <f t="shared" si="0"/>
        <v>A</v>
      </c>
      <c r="I5" t="str">
        <f t="shared" si="1"/>
        <v>A</v>
      </c>
      <c r="J5">
        <v>75</v>
      </c>
      <c r="K5" t="s">
        <v>586</v>
      </c>
      <c r="L5" t="s">
        <v>585</v>
      </c>
    </row>
    <row r="6" spans="1:12">
      <c r="A6" t="s">
        <v>91</v>
      </c>
      <c r="B6" t="s">
        <v>92</v>
      </c>
      <c r="C6">
        <v>38</v>
      </c>
      <c r="D6">
        <v>35</v>
      </c>
      <c r="E6">
        <v>73</v>
      </c>
      <c r="F6">
        <v>36.5</v>
      </c>
      <c r="G6" t="s">
        <v>584</v>
      </c>
      <c r="H6" t="str">
        <f t="shared" si="0"/>
        <v>Fail</v>
      </c>
      <c r="I6" t="str">
        <f t="shared" si="1"/>
        <v>C</v>
      </c>
      <c r="J6">
        <v>40</v>
      </c>
      <c r="K6" t="s">
        <v>586</v>
      </c>
      <c r="L6" t="s">
        <v>588</v>
      </c>
    </row>
    <row r="7" spans="1:12">
      <c r="A7" t="s">
        <v>84</v>
      </c>
      <c r="B7" t="s">
        <v>94</v>
      </c>
      <c r="C7">
        <v>30</v>
      </c>
      <c r="D7">
        <v>57</v>
      </c>
      <c r="E7">
        <v>87</v>
      </c>
      <c r="F7">
        <v>43.5</v>
      </c>
      <c r="G7" t="s">
        <v>584</v>
      </c>
      <c r="H7" t="str">
        <f t="shared" si="0"/>
        <v>Fail</v>
      </c>
      <c r="I7" t="str">
        <f t="shared" si="1"/>
        <v>Fail</v>
      </c>
      <c r="K7" t="s">
        <v>589</v>
      </c>
    </row>
    <row r="8" spans="1:12">
      <c r="A8" t="s">
        <v>95</v>
      </c>
      <c r="B8" t="s">
        <v>89</v>
      </c>
      <c r="C8">
        <v>37</v>
      </c>
      <c r="D8">
        <v>57</v>
      </c>
      <c r="E8">
        <v>94</v>
      </c>
      <c r="F8">
        <v>47</v>
      </c>
      <c r="G8" t="s">
        <v>584</v>
      </c>
      <c r="H8" t="str">
        <f t="shared" si="0"/>
        <v>Fail</v>
      </c>
      <c r="I8" t="str">
        <f t="shared" si="1"/>
        <v>C</v>
      </c>
    </row>
    <row r="9" spans="1:12">
      <c r="A9" t="s">
        <v>96</v>
      </c>
      <c r="B9" t="s">
        <v>94</v>
      </c>
      <c r="C9">
        <v>92</v>
      </c>
      <c r="D9">
        <v>73</v>
      </c>
      <c r="E9">
        <v>165</v>
      </c>
      <c r="F9">
        <v>82.5</v>
      </c>
      <c r="G9" t="s">
        <v>585</v>
      </c>
      <c r="H9" t="str">
        <f t="shared" si="0"/>
        <v>A</v>
      </c>
      <c r="I9" t="str">
        <f t="shared" si="1"/>
        <v>A</v>
      </c>
    </row>
    <row r="10" spans="1:12">
      <c r="A10" t="s">
        <v>84</v>
      </c>
      <c r="B10" t="s">
        <v>94</v>
      </c>
      <c r="C10">
        <v>40</v>
      </c>
      <c r="D10">
        <v>59</v>
      </c>
      <c r="E10">
        <v>99</v>
      </c>
      <c r="F10">
        <v>49.5</v>
      </c>
      <c r="G10" t="s">
        <v>584</v>
      </c>
      <c r="H10" t="str">
        <f t="shared" si="0"/>
        <v>C</v>
      </c>
      <c r="I10" t="str">
        <f t="shared" si="1"/>
        <v>C</v>
      </c>
    </row>
    <row r="11" spans="1:12">
      <c r="A11" t="s">
        <v>88</v>
      </c>
      <c r="B11" t="s">
        <v>89</v>
      </c>
      <c r="C11">
        <v>37</v>
      </c>
      <c r="D11">
        <v>91</v>
      </c>
      <c r="E11">
        <v>128</v>
      </c>
      <c r="F11">
        <v>64</v>
      </c>
      <c r="G11" t="s">
        <v>590</v>
      </c>
      <c r="H11" t="str">
        <f t="shared" si="0"/>
        <v>Fail</v>
      </c>
      <c r="I11" t="str">
        <f t="shared" si="1"/>
        <v>C</v>
      </c>
    </row>
    <row r="12" spans="1:12">
      <c r="A12" t="s">
        <v>91</v>
      </c>
      <c r="B12" t="s">
        <v>89</v>
      </c>
      <c r="C12">
        <v>64</v>
      </c>
      <c r="D12">
        <v>91</v>
      </c>
      <c r="E12">
        <v>155</v>
      </c>
      <c r="F12">
        <v>77.5</v>
      </c>
      <c r="G12" t="s">
        <v>585</v>
      </c>
      <c r="H12" t="str">
        <f t="shared" si="0"/>
        <v>C</v>
      </c>
      <c r="I12" t="str">
        <f t="shared" si="1"/>
        <v>B</v>
      </c>
    </row>
    <row r="13" spans="1:12">
      <c r="A13" t="s">
        <v>86</v>
      </c>
      <c r="B13" t="s">
        <v>89</v>
      </c>
      <c r="C13">
        <v>64</v>
      </c>
      <c r="D13">
        <v>30</v>
      </c>
      <c r="E13">
        <v>94</v>
      </c>
      <c r="F13">
        <v>47</v>
      </c>
      <c r="G13" t="s">
        <v>584</v>
      </c>
      <c r="H13" t="str">
        <f t="shared" si="0"/>
        <v>C</v>
      </c>
      <c r="I13" t="str">
        <f t="shared" si="1"/>
        <v>B</v>
      </c>
    </row>
    <row r="14" spans="1:12">
      <c r="A14" t="s">
        <v>88</v>
      </c>
      <c r="B14" t="s">
        <v>89</v>
      </c>
      <c r="C14">
        <v>62</v>
      </c>
      <c r="D14">
        <v>56</v>
      </c>
      <c r="E14">
        <v>118</v>
      </c>
      <c r="F14">
        <v>59</v>
      </c>
      <c r="G14" t="s">
        <v>584</v>
      </c>
      <c r="H14" t="str">
        <f t="shared" si="0"/>
        <v>C</v>
      </c>
      <c r="I14" t="str">
        <f t="shared" si="1"/>
        <v>B</v>
      </c>
    </row>
    <row r="15" spans="1:12">
      <c r="A15" t="s">
        <v>88</v>
      </c>
      <c r="B15" t="s">
        <v>89</v>
      </c>
      <c r="C15">
        <v>34</v>
      </c>
      <c r="D15">
        <v>91</v>
      </c>
      <c r="E15">
        <v>125</v>
      </c>
      <c r="F15">
        <v>62.5</v>
      </c>
      <c r="G15" t="s">
        <v>590</v>
      </c>
      <c r="H15" t="str">
        <f t="shared" si="0"/>
        <v>Fail</v>
      </c>
      <c r="I15" t="str">
        <f t="shared" si="1"/>
        <v>Fail</v>
      </c>
    </row>
    <row r="16" spans="1:12">
      <c r="A16" t="s">
        <v>96</v>
      </c>
      <c r="B16" t="s">
        <v>94</v>
      </c>
      <c r="C16">
        <v>70</v>
      </c>
      <c r="D16">
        <v>32</v>
      </c>
      <c r="E16">
        <v>102</v>
      </c>
      <c r="F16">
        <v>51</v>
      </c>
      <c r="G16" t="s">
        <v>584</v>
      </c>
      <c r="H16" t="str">
        <f t="shared" si="0"/>
        <v>C</v>
      </c>
      <c r="I16" t="str">
        <f t="shared" si="1"/>
        <v>B</v>
      </c>
    </row>
    <row r="17" spans="1:9">
      <c r="A17" t="s">
        <v>102</v>
      </c>
      <c r="B17" t="s">
        <v>89</v>
      </c>
      <c r="C17">
        <v>57</v>
      </c>
      <c r="D17">
        <v>99</v>
      </c>
      <c r="E17">
        <v>156</v>
      </c>
      <c r="F17">
        <v>78</v>
      </c>
      <c r="G17" t="s">
        <v>585</v>
      </c>
      <c r="H17" t="str">
        <f t="shared" si="0"/>
        <v>C</v>
      </c>
      <c r="I17" t="str">
        <f t="shared" si="1"/>
        <v>C</v>
      </c>
    </row>
    <row r="18" spans="1:9">
      <c r="A18" t="s">
        <v>91</v>
      </c>
      <c r="B18" t="s">
        <v>92</v>
      </c>
      <c r="C18">
        <v>36</v>
      </c>
      <c r="D18">
        <v>56</v>
      </c>
      <c r="E18">
        <v>92</v>
      </c>
      <c r="F18">
        <v>46</v>
      </c>
      <c r="G18" t="s">
        <v>584</v>
      </c>
      <c r="H18" t="str">
        <f t="shared" si="0"/>
        <v>Fail</v>
      </c>
      <c r="I18" t="str">
        <f t="shared" si="1"/>
        <v>C</v>
      </c>
    </row>
    <row r="19" spans="1:9">
      <c r="A19" t="s">
        <v>103</v>
      </c>
      <c r="B19" t="s">
        <v>85</v>
      </c>
      <c r="C19">
        <v>41</v>
      </c>
      <c r="D19">
        <v>38</v>
      </c>
      <c r="E19">
        <v>79</v>
      </c>
      <c r="F19">
        <v>39.5</v>
      </c>
      <c r="G19" t="s">
        <v>584</v>
      </c>
      <c r="H19" t="str">
        <f t="shared" si="0"/>
        <v>C</v>
      </c>
      <c r="I19" t="str">
        <f t="shared" si="1"/>
        <v>C</v>
      </c>
    </row>
    <row r="20" spans="1:9">
      <c r="A20" t="s">
        <v>88</v>
      </c>
      <c r="B20" t="s">
        <v>89</v>
      </c>
      <c r="C20">
        <v>63</v>
      </c>
      <c r="D20">
        <v>91</v>
      </c>
      <c r="E20">
        <v>154</v>
      </c>
      <c r="F20">
        <v>77</v>
      </c>
      <c r="G20" t="s">
        <v>585</v>
      </c>
      <c r="H20" t="str">
        <f t="shared" si="0"/>
        <v>C</v>
      </c>
      <c r="I20" t="str">
        <f t="shared" si="1"/>
        <v>B</v>
      </c>
    </row>
    <row r="21" spans="1:9">
      <c r="A21" t="s">
        <v>102</v>
      </c>
      <c r="B21" t="s">
        <v>89</v>
      </c>
      <c r="C21">
        <v>62</v>
      </c>
      <c r="D21">
        <v>66</v>
      </c>
      <c r="E21">
        <v>128</v>
      </c>
      <c r="F21">
        <v>64</v>
      </c>
      <c r="G21" t="s">
        <v>590</v>
      </c>
      <c r="H21" t="str">
        <f t="shared" si="0"/>
        <v>C</v>
      </c>
      <c r="I21" t="str">
        <f t="shared" si="1"/>
        <v>B</v>
      </c>
    </row>
    <row r="22" spans="1:9">
      <c r="A22" t="s">
        <v>103</v>
      </c>
      <c r="B22" t="s">
        <v>94</v>
      </c>
      <c r="C22">
        <v>77</v>
      </c>
      <c r="D22">
        <v>80</v>
      </c>
      <c r="E22">
        <v>157</v>
      </c>
      <c r="F22">
        <v>78.5</v>
      </c>
      <c r="G22" t="s">
        <v>585</v>
      </c>
      <c r="H22" t="str">
        <f t="shared" si="0"/>
        <v>B</v>
      </c>
      <c r="I22" t="str">
        <f t="shared" si="1"/>
        <v>B</v>
      </c>
    </row>
    <row r="23" spans="1:9">
      <c r="A23" t="s">
        <v>91</v>
      </c>
      <c r="B23" t="s">
        <v>89</v>
      </c>
      <c r="C23">
        <v>52</v>
      </c>
      <c r="D23">
        <v>73</v>
      </c>
      <c r="E23">
        <v>125</v>
      </c>
      <c r="F23">
        <v>62.5</v>
      </c>
      <c r="G23" t="s">
        <v>590</v>
      </c>
      <c r="H23" t="str">
        <f t="shared" si="0"/>
        <v>C</v>
      </c>
      <c r="I23" t="str">
        <f t="shared" si="1"/>
        <v>C</v>
      </c>
    </row>
    <row r="24" spans="1:9">
      <c r="A24" t="s">
        <v>104</v>
      </c>
      <c r="B24" t="s">
        <v>89</v>
      </c>
      <c r="C24">
        <v>91</v>
      </c>
      <c r="D24">
        <v>53</v>
      </c>
      <c r="E24">
        <v>144</v>
      </c>
      <c r="F24">
        <v>72</v>
      </c>
      <c r="G24" t="s">
        <v>590</v>
      </c>
      <c r="H24" t="str">
        <f t="shared" si="0"/>
        <v>A</v>
      </c>
      <c r="I24" t="str">
        <f t="shared" si="1"/>
        <v>A</v>
      </c>
    </row>
    <row r="25" spans="1:9">
      <c r="A25" t="s">
        <v>95</v>
      </c>
      <c r="B25" t="s">
        <v>89</v>
      </c>
      <c r="C25">
        <v>66</v>
      </c>
      <c r="D25">
        <v>88</v>
      </c>
      <c r="E25">
        <v>154</v>
      </c>
      <c r="F25">
        <v>77</v>
      </c>
      <c r="G25" t="s">
        <v>585</v>
      </c>
      <c r="H25" t="str">
        <f t="shared" si="0"/>
        <v>C</v>
      </c>
      <c r="I25" t="str">
        <f t="shared" si="1"/>
        <v>B</v>
      </c>
    </row>
    <row r="26" spans="1:9">
      <c r="A26" t="s">
        <v>102</v>
      </c>
      <c r="B26" t="s">
        <v>94</v>
      </c>
      <c r="C26">
        <v>73</v>
      </c>
      <c r="D26">
        <v>61</v>
      </c>
      <c r="E26">
        <v>134</v>
      </c>
      <c r="F26">
        <v>67</v>
      </c>
      <c r="G26" t="s">
        <v>590</v>
      </c>
      <c r="H26" t="str">
        <f t="shared" si="0"/>
        <v>C</v>
      </c>
      <c r="I26" t="str">
        <f t="shared" si="1"/>
        <v>B</v>
      </c>
    </row>
    <row r="27" spans="1:9">
      <c r="A27" t="s">
        <v>105</v>
      </c>
      <c r="B27" t="s">
        <v>89</v>
      </c>
      <c r="C27">
        <v>64</v>
      </c>
      <c r="D27">
        <v>81</v>
      </c>
      <c r="E27">
        <v>145</v>
      </c>
      <c r="F27">
        <v>72.5</v>
      </c>
      <c r="G27" t="s">
        <v>590</v>
      </c>
      <c r="H27" t="str">
        <f t="shared" si="0"/>
        <v>C</v>
      </c>
      <c r="I27" t="str">
        <f t="shared" si="1"/>
        <v>B</v>
      </c>
    </row>
    <row r="28" spans="1:9">
      <c r="A28" t="s">
        <v>104</v>
      </c>
      <c r="B28" t="s">
        <v>85</v>
      </c>
      <c r="C28">
        <v>94</v>
      </c>
      <c r="D28">
        <v>91</v>
      </c>
      <c r="E28">
        <v>185</v>
      </c>
      <c r="F28">
        <v>92.5</v>
      </c>
      <c r="G28" t="s">
        <v>587</v>
      </c>
      <c r="H28" t="str">
        <f t="shared" si="0"/>
        <v>A</v>
      </c>
      <c r="I28" t="str">
        <f t="shared" si="1"/>
        <v>A</v>
      </c>
    </row>
    <row r="29" spans="1:9">
      <c r="A29" t="s">
        <v>95</v>
      </c>
      <c r="B29" t="s">
        <v>94</v>
      </c>
      <c r="C29">
        <v>76</v>
      </c>
      <c r="D29">
        <v>87</v>
      </c>
      <c r="E29">
        <v>163</v>
      </c>
      <c r="F29">
        <v>81.5</v>
      </c>
      <c r="G29" t="s">
        <v>585</v>
      </c>
      <c r="H29" t="str">
        <f t="shared" si="0"/>
        <v>B</v>
      </c>
      <c r="I29" t="str">
        <f t="shared" si="1"/>
        <v>B</v>
      </c>
    </row>
    <row r="30" spans="1:9">
      <c r="A30" t="s">
        <v>96</v>
      </c>
      <c r="B30" t="s">
        <v>85</v>
      </c>
      <c r="C30">
        <v>32</v>
      </c>
      <c r="D30">
        <v>81</v>
      </c>
      <c r="E30">
        <v>113</v>
      </c>
      <c r="F30">
        <v>56.5</v>
      </c>
      <c r="G30" t="s">
        <v>584</v>
      </c>
      <c r="H30" t="str">
        <f t="shared" si="0"/>
        <v>Fail</v>
      </c>
      <c r="I30" t="str">
        <f t="shared" si="1"/>
        <v>Fail</v>
      </c>
    </row>
    <row r="31" spans="1:9">
      <c r="A31" t="s">
        <v>84</v>
      </c>
      <c r="B31" t="s">
        <v>94</v>
      </c>
      <c r="C31">
        <v>30</v>
      </c>
      <c r="D31">
        <v>41</v>
      </c>
      <c r="E31">
        <v>71</v>
      </c>
      <c r="F31">
        <v>35.5</v>
      </c>
      <c r="G31" t="s">
        <v>584</v>
      </c>
      <c r="H31" t="str">
        <f t="shared" si="0"/>
        <v>Fail</v>
      </c>
      <c r="I31" t="str">
        <f t="shared" si="1"/>
        <v>Fail</v>
      </c>
    </row>
    <row r="32" spans="1:9">
      <c r="A32" t="s">
        <v>86</v>
      </c>
      <c r="B32" t="s">
        <v>89</v>
      </c>
      <c r="C32">
        <v>34</v>
      </c>
      <c r="D32">
        <v>68</v>
      </c>
      <c r="E32">
        <v>102</v>
      </c>
      <c r="F32">
        <v>51</v>
      </c>
      <c r="G32" t="s">
        <v>584</v>
      </c>
      <c r="H32" t="str">
        <f t="shared" si="0"/>
        <v>Fail</v>
      </c>
      <c r="I32" t="str">
        <f t="shared" si="1"/>
        <v>Fail</v>
      </c>
    </row>
    <row r="33" spans="1:9">
      <c r="A33" t="s">
        <v>105</v>
      </c>
      <c r="B33" t="s">
        <v>85</v>
      </c>
      <c r="C33">
        <v>43</v>
      </c>
      <c r="D33">
        <v>31</v>
      </c>
      <c r="E33">
        <v>74</v>
      </c>
      <c r="F33">
        <v>37</v>
      </c>
      <c r="G33" t="s">
        <v>584</v>
      </c>
      <c r="H33" t="str">
        <f t="shared" si="0"/>
        <v>C</v>
      </c>
      <c r="I33" t="str">
        <f t="shared" si="1"/>
        <v>C</v>
      </c>
    </row>
    <row r="34" spans="1:9">
      <c r="A34" t="s">
        <v>96</v>
      </c>
      <c r="B34" t="s">
        <v>94</v>
      </c>
      <c r="C34">
        <v>56</v>
      </c>
      <c r="D34">
        <v>32</v>
      </c>
      <c r="E34">
        <v>88</v>
      </c>
      <c r="F34">
        <v>44</v>
      </c>
      <c r="G34" t="s">
        <v>584</v>
      </c>
      <c r="H34" t="str">
        <f t="shared" si="0"/>
        <v>C</v>
      </c>
      <c r="I34" t="str">
        <f t="shared" si="1"/>
        <v>C</v>
      </c>
    </row>
    <row r="35" spans="1:9">
      <c r="A35" t="s">
        <v>91</v>
      </c>
      <c r="B35" t="s">
        <v>92</v>
      </c>
      <c r="C35">
        <v>38</v>
      </c>
      <c r="D35">
        <v>85</v>
      </c>
      <c r="E35">
        <v>123</v>
      </c>
      <c r="F35">
        <v>61.5</v>
      </c>
      <c r="G35" t="s">
        <v>590</v>
      </c>
      <c r="H35" t="str">
        <f t="shared" si="0"/>
        <v>Fail</v>
      </c>
      <c r="I35" t="str">
        <f t="shared" si="1"/>
        <v>C</v>
      </c>
    </row>
    <row r="36" spans="1:9">
      <c r="A36" t="s">
        <v>96</v>
      </c>
      <c r="B36" t="s">
        <v>89</v>
      </c>
      <c r="C36">
        <v>44</v>
      </c>
      <c r="D36">
        <v>88</v>
      </c>
      <c r="E36">
        <v>132</v>
      </c>
      <c r="F36">
        <v>66</v>
      </c>
      <c r="G36" t="s">
        <v>590</v>
      </c>
      <c r="H36" t="str">
        <f t="shared" si="0"/>
        <v>C</v>
      </c>
      <c r="I36" t="str">
        <f t="shared" si="1"/>
        <v>C</v>
      </c>
    </row>
    <row r="37" spans="1:9">
      <c r="A37" t="s">
        <v>84</v>
      </c>
      <c r="B37" t="s">
        <v>94</v>
      </c>
      <c r="C37">
        <v>71</v>
      </c>
      <c r="D37">
        <v>31</v>
      </c>
      <c r="E37">
        <v>102</v>
      </c>
      <c r="F37">
        <v>51</v>
      </c>
      <c r="G37" t="s">
        <v>584</v>
      </c>
      <c r="H37" t="str">
        <f t="shared" si="0"/>
        <v>C</v>
      </c>
      <c r="I37" t="str">
        <f t="shared" si="1"/>
        <v>B</v>
      </c>
    </row>
    <row r="38" spans="1:9">
      <c r="A38" t="s">
        <v>91</v>
      </c>
      <c r="B38" t="s">
        <v>92</v>
      </c>
      <c r="C38">
        <v>80</v>
      </c>
      <c r="D38">
        <v>31</v>
      </c>
      <c r="E38">
        <v>111</v>
      </c>
      <c r="F38">
        <v>55.5</v>
      </c>
      <c r="G38" t="s">
        <v>584</v>
      </c>
      <c r="H38" t="str">
        <f t="shared" si="0"/>
        <v>B</v>
      </c>
      <c r="I38" t="str">
        <f t="shared" si="1"/>
        <v>B</v>
      </c>
    </row>
    <row r="39" spans="1:9">
      <c r="A39" t="s">
        <v>105</v>
      </c>
      <c r="B39" t="s">
        <v>94</v>
      </c>
      <c r="C39">
        <v>92</v>
      </c>
      <c r="D39">
        <v>83</v>
      </c>
      <c r="E39">
        <v>175</v>
      </c>
      <c r="F39">
        <v>87.5</v>
      </c>
      <c r="G39" t="s">
        <v>585</v>
      </c>
      <c r="H39" t="str">
        <f t="shared" si="0"/>
        <v>A</v>
      </c>
      <c r="I39" t="str">
        <f t="shared" si="1"/>
        <v>A</v>
      </c>
    </row>
    <row r="40" spans="1:9">
      <c r="A40" t="s">
        <v>84</v>
      </c>
      <c r="B40" t="s">
        <v>92</v>
      </c>
      <c r="C40">
        <v>81</v>
      </c>
      <c r="D40">
        <v>30</v>
      </c>
      <c r="E40">
        <v>111</v>
      </c>
      <c r="F40">
        <v>55.5</v>
      </c>
      <c r="G40" t="s">
        <v>584</v>
      </c>
      <c r="H40" t="str">
        <f t="shared" si="0"/>
        <v>B</v>
      </c>
      <c r="I40" t="str">
        <f t="shared" si="1"/>
        <v>B</v>
      </c>
    </row>
    <row r="41" spans="1:9">
      <c r="A41" t="s">
        <v>103</v>
      </c>
      <c r="B41" t="s">
        <v>89</v>
      </c>
      <c r="C41">
        <v>33</v>
      </c>
      <c r="D41">
        <v>48</v>
      </c>
      <c r="E41">
        <v>81</v>
      </c>
      <c r="F41">
        <v>40.5</v>
      </c>
      <c r="G41" t="s">
        <v>584</v>
      </c>
      <c r="H41" t="str">
        <f t="shared" si="0"/>
        <v>Fail</v>
      </c>
      <c r="I41" t="str">
        <f t="shared" si="1"/>
        <v>Fail</v>
      </c>
    </row>
    <row r="42" spans="1:9">
      <c r="A42" t="s">
        <v>86</v>
      </c>
      <c r="B42" t="s">
        <v>85</v>
      </c>
      <c r="C42">
        <v>52</v>
      </c>
      <c r="D42">
        <v>31</v>
      </c>
      <c r="E42">
        <v>83</v>
      </c>
      <c r="F42">
        <v>41.5</v>
      </c>
      <c r="G42" t="s">
        <v>584</v>
      </c>
      <c r="H42" t="str">
        <f t="shared" si="0"/>
        <v>C</v>
      </c>
      <c r="I42" t="str">
        <f t="shared" si="1"/>
        <v>C</v>
      </c>
    </row>
    <row r="43" spans="1:9">
      <c r="A43" t="s">
        <v>105</v>
      </c>
      <c r="B43" t="s">
        <v>92</v>
      </c>
      <c r="C43">
        <v>44</v>
      </c>
      <c r="D43">
        <v>82</v>
      </c>
      <c r="E43">
        <v>126</v>
      </c>
      <c r="F43">
        <v>63</v>
      </c>
      <c r="G43" t="s">
        <v>590</v>
      </c>
      <c r="H43" t="str">
        <f t="shared" si="0"/>
        <v>C</v>
      </c>
      <c r="I43" t="str">
        <f t="shared" si="1"/>
        <v>C</v>
      </c>
    </row>
    <row r="44" spans="1:9">
      <c r="A44" t="s">
        <v>103</v>
      </c>
      <c r="B44" t="s">
        <v>94</v>
      </c>
      <c r="C44">
        <v>72</v>
      </c>
      <c r="D44">
        <v>73</v>
      </c>
      <c r="E44">
        <v>145</v>
      </c>
      <c r="F44">
        <v>72.5</v>
      </c>
      <c r="G44" t="s">
        <v>590</v>
      </c>
      <c r="H44" t="str">
        <f t="shared" si="0"/>
        <v>C</v>
      </c>
      <c r="I44" t="str">
        <f t="shared" si="1"/>
        <v>B</v>
      </c>
    </row>
    <row r="45" spans="1:9">
      <c r="A45" t="s">
        <v>95</v>
      </c>
      <c r="B45" t="s">
        <v>89</v>
      </c>
      <c r="C45">
        <v>58</v>
      </c>
      <c r="D45">
        <v>61</v>
      </c>
      <c r="E45">
        <v>119</v>
      </c>
      <c r="F45">
        <v>59.5</v>
      </c>
      <c r="G45" t="s">
        <v>584</v>
      </c>
      <c r="H45" t="str">
        <f t="shared" si="0"/>
        <v>C</v>
      </c>
      <c r="I45" t="str">
        <f t="shared" si="1"/>
        <v>C</v>
      </c>
    </row>
    <row r="46" spans="1:9">
      <c r="A46" t="s">
        <v>105</v>
      </c>
      <c r="B46" t="s">
        <v>92</v>
      </c>
      <c r="C46">
        <v>65</v>
      </c>
      <c r="D46">
        <v>99</v>
      </c>
      <c r="E46">
        <v>164</v>
      </c>
      <c r="F46">
        <v>82</v>
      </c>
      <c r="G46" t="s">
        <v>585</v>
      </c>
      <c r="H46" t="str">
        <f t="shared" si="0"/>
        <v>C</v>
      </c>
      <c r="I46" t="str">
        <f t="shared" si="1"/>
        <v>B</v>
      </c>
    </row>
    <row r="47" spans="1:9">
      <c r="A47" t="s">
        <v>95</v>
      </c>
      <c r="B47" t="s">
        <v>94</v>
      </c>
      <c r="C47">
        <v>42</v>
      </c>
      <c r="D47">
        <v>61</v>
      </c>
      <c r="E47">
        <v>103</v>
      </c>
      <c r="F47">
        <v>51.5</v>
      </c>
      <c r="G47" t="s">
        <v>584</v>
      </c>
      <c r="H47" t="str">
        <f t="shared" si="0"/>
        <v>C</v>
      </c>
      <c r="I47" t="str">
        <f t="shared" si="1"/>
        <v>C</v>
      </c>
    </row>
    <row r="48" spans="1:9">
      <c r="A48" t="s">
        <v>91</v>
      </c>
      <c r="B48" t="s">
        <v>94</v>
      </c>
      <c r="C48">
        <v>61</v>
      </c>
      <c r="D48">
        <v>97</v>
      </c>
      <c r="E48">
        <v>158</v>
      </c>
      <c r="F48">
        <v>79</v>
      </c>
      <c r="G48" t="s">
        <v>585</v>
      </c>
      <c r="H48" t="str">
        <f t="shared" si="0"/>
        <v>C</v>
      </c>
      <c r="I48" t="str">
        <f t="shared" si="1"/>
        <v>B</v>
      </c>
    </row>
    <row r="49" spans="1:9">
      <c r="A49" t="s">
        <v>103</v>
      </c>
      <c r="B49" t="s">
        <v>94</v>
      </c>
      <c r="C49">
        <v>88</v>
      </c>
      <c r="D49">
        <v>84</v>
      </c>
      <c r="E49">
        <v>172</v>
      </c>
      <c r="F49">
        <v>86</v>
      </c>
      <c r="G49" t="s">
        <v>585</v>
      </c>
      <c r="H49" t="str">
        <f t="shared" si="0"/>
        <v>B</v>
      </c>
      <c r="I49" t="str">
        <f t="shared" si="1"/>
        <v>A</v>
      </c>
    </row>
    <row r="50" spans="1:9">
      <c r="A50" t="s">
        <v>86</v>
      </c>
      <c r="B50" t="s">
        <v>92</v>
      </c>
      <c r="C50">
        <v>57</v>
      </c>
      <c r="D50">
        <v>85</v>
      </c>
      <c r="E50">
        <v>142</v>
      </c>
      <c r="F50">
        <v>71</v>
      </c>
      <c r="G50" t="s">
        <v>590</v>
      </c>
      <c r="H50" t="str">
        <f t="shared" si="0"/>
        <v>C</v>
      </c>
      <c r="I50" t="str">
        <f t="shared" si="1"/>
        <v>C</v>
      </c>
    </row>
    <row r="51" spans="1:9">
      <c r="A51" t="s">
        <v>84</v>
      </c>
      <c r="B51" t="s">
        <v>92</v>
      </c>
      <c r="C51">
        <v>95</v>
      </c>
      <c r="D51">
        <v>46</v>
      </c>
      <c r="E51">
        <v>141</v>
      </c>
      <c r="F51">
        <v>70.5</v>
      </c>
      <c r="G51" t="s">
        <v>590</v>
      </c>
      <c r="H51" t="str">
        <f t="shared" si="0"/>
        <v>A</v>
      </c>
      <c r="I51" t="str">
        <f t="shared" si="1"/>
        <v>A</v>
      </c>
    </row>
    <row r="52" spans="1:9">
      <c r="A52" t="s">
        <v>88</v>
      </c>
      <c r="B52" t="s">
        <v>92</v>
      </c>
      <c r="C52">
        <v>71</v>
      </c>
      <c r="D52">
        <v>67</v>
      </c>
      <c r="E52">
        <v>138</v>
      </c>
      <c r="F52">
        <v>69</v>
      </c>
      <c r="G52" t="s">
        <v>590</v>
      </c>
      <c r="H52" t="str">
        <f t="shared" si="0"/>
        <v>C</v>
      </c>
      <c r="I52" t="str">
        <f t="shared" si="1"/>
        <v>B</v>
      </c>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419D-4B3F-4192-8E90-6C5EF85E9A21}">
  <dimension ref="A1:M54"/>
  <sheetViews>
    <sheetView workbookViewId="0">
      <selection activeCell="M15" sqref="M15:M22"/>
    </sheetView>
  </sheetViews>
  <sheetFormatPr defaultRowHeight="16.5"/>
  <sheetData>
    <row r="1" spans="1:13" ht="49.5">
      <c r="A1" s="14" t="s">
        <v>120</v>
      </c>
      <c r="B1" s="14" t="s">
        <v>121</v>
      </c>
      <c r="C1" s="14" t="s">
        <v>78</v>
      </c>
      <c r="D1" s="14" t="s">
        <v>122</v>
      </c>
      <c r="E1" s="14" t="s">
        <v>89</v>
      </c>
      <c r="F1" s="14" t="s">
        <v>125</v>
      </c>
      <c r="G1" s="14" t="s">
        <v>411</v>
      </c>
      <c r="H1" s="14" t="s">
        <v>412</v>
      </c>
      <c r="I1" s="14" t="s">
        <v>413</v>
      </c>
      <c r="J1" s="14" t="s">
        <v>414</v>
      </c>
      <c r="M1" s="29" t="s">
        <v>400</v>
      </c>
    </row>
    <row r="2" spans="1:13">
      <c r="A2" s="13" t="s">
        <v>415</v>
      </c>
      <c r="B2" s="13" t="s">
        <v>416</v>
      </c>
      <c r="C2" s="13" t="s">
        <v>89</v>
      </c>
      <c r="D2" s="13" t="s">
        <v>143</v>
      </c>
      <c r="E2" s="13">
        <v>45000</v>
      </c>
      <c r="F2" s="13">
        <v>40000</v>
      </c>
      <c r="G2" s="13">
        <v>92</v>
      </c>
      <c r="H2" s="13">
        <v>6</v>
      </c>
      <c r="I2" s="13">
        <v>28</v>
      </c>
      <c r="J2" s="13" t="s">
        <v>417</v>
      </c>
      <c r="M2" s="18" t="s">
        <v>401</v>
      </c>
    </row>
    <row r="3" spans="1:13">
      <c r="A3" s="13" t="s">
        <v>418</v>
      </c>
      <c r="B3" s="13" t="s">
        <v>419</v>
      </c>
      <c r="C3" s="13" t="s">
        <v>92</v>
      </c>
      <c r="D3" s="13" t="s">
        <v>147</v>
      </c>
      <c r="E3" s="13">
        <v>18000</v>
      </c>
      <c r="F3" s="13">
        <v>30000</v>
      </c>
      <c r="G3" s="13">
        <v>65</v>
      </c>
      <c r="H3" s="13">
        <v>3</v>
      </c>
      <c r="I3" s="13">
        <v>24</v>
      </c>
      <c r="J3" s="13" t="s">
        <v>420</v>
      </c>
      <c r="M3" s="18" t="s">
        <v>402</v>
      </c>
    </row>
    <row r="4" spans="1:13">
      <c r="A4" s="13" t="s">
        <v>421</v>
      </c>
      <c r="B4" s="13" t="s">
        <v>422</v>
      </c>
      <c r="C4" s="13" t="s">
        <v>85</v>
      </c>
      <c r="D4" s="13" t="s">
        <v>128</v>
      </c>
      <c r="E4" s="13">
        <v>37000</v>
      </c>
      <c r="F4" s="13">
        <v>30000</v>
      </c>
      <c r="G4" s="13">
        <v>85</v>
      </c>
      <c r="H4" s="13">
        <v>10</v>
      </c>
      <c r="I4" s="13">
        <v>38</v>
      </c>
      <c r="J4" s="13" t="s">
        <v>417</v>
      </c>
      <c r="M4" s="18" t="s">
        <v>403</v>
      </c>
    </row>
    <row r="5" spans="1:13">
      <c r="A5" s="13" t="s">
        <v>423</v>
      </c>
      <c r="B5" s="13" t="s">
        <v>424</v>
      </c>
      <c r="C5" s="13" t="s">
        <v>154</v>
      </c>
      <c r="D5" s="13" t="s">
        <v>133</v>
      </c>
      <c r="E5" s="13">
        <v>5000</v>
      </c>
      <c r="F5" s="13">
        <v>20000</v>
      </c>
      <c r="G5" s="13">
        <v>78</v>
      </c>
      <c r="H5" s="13">
        <v>2</v>
      </c>
      <c r="I5" s="13">
        <v>30</v>
      </c>
      <c r="J5" s="13" t="s">
        <v>420</v>
      </c>
      <c r="M5" s="18" t="s">
        <v>404</v>
      </c>
    </row>
    <row r="6" spans="1:13" ht="33">
      <c r="A6" s="13" t="s">
        <v>425</v>
      </c>
      <c r="B6" s="13" t="s">
        <v>426</v>
      </c>
      <c r="C6" s="13" t="s">
        <v>94</v>
      </c>
      <c r="D6" s="13" t="s">
        <v>147</v>
      </c>
      <c r="E6" s="13">
        <v>42000</v>
      </c>
      <c r="F6" s="13">
        <v>40000</v>
      </c>
      <c r="G6" s="13">
        <v>96</v>
      </c>
      <c r="H6" s="13">
        <v>12</v>
      </c>
      <c r="I6" s="13">
        <v>45</v>
      </c>
      <c r="J6" s="13" t="s">
        <v>417</v>
      </c>
      <c r="M6" s="18" t="s">
        <v>405</v>
      </c>
    </row>
    <row r="7" spans="1:13">
      <c r="A7" s="13" t="s">
        <v>427</v>
      </c>
      <c r="B7" s="13" t="s">
        <v>472</v>
      </c>
      <c r="C7" s="13" t="s">
        <v>89</v>
      </c>
      <c r="D7" s="13" t="s">
        <v>143</v>
      </c>
      <c r="E7" s="13">
        <v>45000</v>
      </c>
      <c r="F7" s="13">
        <v>40000</v>
      </c>
      <c r="G7" s="13">
        <v>92</v>
      </c>
      <c r="H7" s="13">
        <v>6</v>
      </c>
      <c r="I7" s="13">
        <v>28</v>
      </c>
      <c r="J7" s="13" t="s">
        <v>417</v>
      </c>
      <c r="M7" s="18" t="s">
        <v>406</v>
      </c>
    </row>
    <row r="8" spans="1:13">
      <c r="A8" s="13" t="s">
        <v>428</v>
      </c>
      <c r="B8" s="13" t="s">
        <v>473</v>
      </c>
      <c r="C8" s="13" t="s">
        <v>92</v>
      </c>
      <c r="D8" s="13" t="s">
        <v>147</v>
      </c>
      <c r="E8" s="13">
        <v>18000</v>
      </c>
      <c r="F8" s="13">
        <v>30000</v>
      </c>
      <c r="G8" s="13">
        <v>65</v>
      </c>
      <c r="H8" s="13">
        <v>3</v>
      </c>
      <c r="I8" s="13">
        <v>24</v>
      </c>
      <c r="J8" s="13" t="s">
        <v>420</v>
      </c>
      <c r="M8" s="18" t="s">
        <v>407</v>
      </c>
    </row>
    <row r="9" spans="1:13">
      <c r="A9" s="13" t="s">
        <v>429</v>
      </c>
      <c r="B9" s="13" t="s">
        <v>474</v>
      </c>
      <c r="C9" s="13" t="s">
        <v>85</v>
      </c>
      <c r="D9" s="13" t="s">
        <v>128</v>
      </c>
      <c r="E9" s="13">
        <v>37000</v>
      </c>
      <c r="F9" s="13">
        <v>30000</v>
      </c>
      <c r="G9" s="13">
        <v>85</v>
      </c>
      <c r="H9" s="13">
        <v>10</v>
      </c>
      <c r="I9" s="13">
        <v>38</v>
      </c>
      <c r="J9" s="13" t="s">
        <v>417</v>
      </c>
      <c r="M9" s="18" t="s">
        <v>408</v>
      </c>
    </row>
    <row r="10" spans="1:13">
      <c r="A10" s="13" t="s">
        <v>430</v>
      </c>
      <c r="B10" s="13" t="s">
        <v>475</v>
      </c>
      <c r="C10" s="13" t="s">
        <v>154</v>
      </c>
      <c r="D10" s="13" t="s">
        <v>133</v>
      </c>
      <c r="E10" s="13">
        <v>5000</v>
      </c>
      <c r="F10" s="13">
        <v>20000</v>
      </c>
      <c r="G10" s="13">
        <v>78</v>
      </c>
      <c r="H10" s="13">
        <v>2</v>
      </c>
      <c r="I10" s="13">
        <v>30</v>
      </c>
      <c r="J10" s="13" t="s">
        <v>420</v>
      </c>
      <c r="M10" s="18" t="s">
        <v>409</v>
      </c>
    </row>
    <row r="11" spans="1:13" ht="33">
      <c r="A11" s="13" t="s">
        <v>431</v>
      </c>
      <c r="B11" s="13" t="s">
        <v>476</v>
      </c>
      <c r="C11" s="13" t="s">
        <v>94</v>
      </c>
      <c r="D11" s="13" t="s">
        <v>147</v>
      </c>
      <c r="E11" s="13">
        <v>42000</v>
      </c>
      <c r="F11" s="13">
        <v>40000</v>
      </c>
      <c r="G11" s="13">
        <v>96</v>
      </c>
      <c r="H11" s="13">
        <v>12</v>
      </c>
      <c r="I11" s="13">
        <v>45</v>
      </c>
      <c r="J11" s="13" t="s">
        <v>417</v>
      </c>
      <c r="M11" s="18" t="s">
        <v>410</v>
      </c>
    </row>
    <row r="12" spans="1:13">
      <c r="A12" s="13" t="s">
        <v>432</v>
      </c>
      <c r="B12" s="13" t="s">
        <v>477</v>
      </c>
      <c r="C12" s="13" t="s">
        <v>89</v>
      </c>
      <c r="D12" s="13" t="s">
        <v>143</v>
      </c>
      <c r="E12" s="13">
        <v>45000</v>
      </c>
      <c r="F12" s="13">
        <v>40000</v>
      </c>
      <c r="G12" s="13">
        <v>92</v>
      </c>
      <c r="H12" s="13">
        <v>6</v>
      </c>
      <c r="I12" s="13">
        <v>28</v>
      </c>
      <c r="J12" s="13" t="s">
        <v>417</v>
      </c>
      <c r="M12" s="18"/>
    </row>
    <row r="13" spans="1:13">
      <c r="A13" s="13" t="s">
        <v>433</v>
      </c>
      <c r="B13" s="13" t="s">
        <v>478</v>
      </c>
      <c r="C13" s="13" t="s">
        <v>92</v>
      </c>
      <c r="D13" s="13" t="s">
        <v>147</v>
      </c>
      <c r="E13" s="13">
        <v>18000</v>
      </c>
      <c r="F13" s="13">
        <v>30000</v>
      </c>
      <c r="G13" s="13">
        <v>65</v>
      </c>
      <c r="H13" s="13">
        <v>3</v>
      </c>
      <c r="I13" s="13">
        <v>24</v>
      </c>
      <c r="J13" s="13" t="s">
        <v>420</v>
      </c>
      <c r="M13" s="18"/>
    </row>
    <row r="14" spans="1:13">
      <c r="A14" s="13" t="s">
        <v>434</v>
      </c>
      <c r="B14" s="13" t="s">
        <v>479</v>
      </c>
      <c r="C14" s="13" t="s">
        <v>85</v>
      </c>
      <c r="D14" s="13" t="s">
        <v>128</v>
      </c>
      <c r="E14" s="13">
        <v>37000</v>
      </c>
      <c r="F14" s="13">
        <v>30000</v>
      </c>
      <c r="G14" s="13">
        <v>85</v>
      </c>
      <c r="H14" s="13">
        <v>10</v>
      </c>
      <c r="I14" s="13">
        <v>38</v>
      </c>
      <c r="J14" s="13" t="s">
        <v>417</v>
      </c>
      <c r="M14" s="18"/>
    </row>
    <row r="15" spans="1:13" ht="23.25">
      <c r="A15" s="13" t="s">
        <v>435</v>
      </c>
      <c r="B15" s="13" t="s">
        <v>480</v>
      </c>
      <c r="C15" s="13" t="s">
        <v>154</v>
      </c>
      <c r="D15" s="13" t="s">
        <v>133</v>
      </c>
      <c r="E15" s="13">
        <v>5000</v>
      </c>
      <c r="F15" s="13">
        <v>20000</v>
      </c>
      <c r="G15" s="13">
        <v>78</v>
      </c>
      <c r="H15" s="13">
        <v>2</v>
      </c>
      <c r="I15" s="13">
        <v>30</v>
      </c>
      <c r="J15" s="13" t="s">
        <v>420</v>
      </c>
      <c r="M15" s="29" t="s">
        <v>572</v>
      </c>
    </row>
    <row r="16" spans="1:13" ht="33">
      <c r="A16" s="13" t="s">
        <v>436</v>
      </c>
      <c r="B16" s="13" t="s">
        <v>481</v>
      </c>
      <c r="C16" s="13" t="s">
        <v>94</v>
      </c>
      <c r="D16" s="13" t="s">
        <v>147</v>
      </c>
      <c r="E16" s="13">
        <v>42000</v>
      </c>
      <c r="F16" s="13">
        <v>40000</v>
      </c>
      <c r="G16" s="13">
        <v>96</v>
      </c>
      <c r="H16" s="13">
        <v>12</v>
      </c>
      <c r="I16" s="13">
        <v>45</v>
      </c>
      <c r="J16" s="13" t="s">
        <v>417</v>
      </c>
      <c r="M16" s="18" t="s">
        <v>573</v>
      </c>
    </row>
    <row r="17" spans="1:13">
      <c r="A17" s="13" t="s">
        <v>437</v>
      </c>
      <c r="B17" s="13" t="s">
        <v>482</v>
      </c>
      <c r="C17" s="13" t="s">
        <v>89</v>
      </c>
      <c r="D17" s="13" t="s">
        <v>143</v>
      </c>
      <c r="E17" s="13">
        <v>45000</v>
      </c>
      <c r="F17" s="13">
        <v>40000</v>
      </c>
      <c r="G17" s="13">
        <v>92</v>
      </c>
      <c r="H17" s="13">
        <v>6</v>
      </c>
      <c r="I17" s="13">
        <v>28</v>
      </c>
      <c r="J17" s="13" t="s">
        <v>417</v>
      </c>
      <c r="M17" s="18" t="s">
        <v>574</v>
      </c>
    </row>
    <row r="18" spans="1:13">
      <c r="A18" s="13" t="s">
        <v>438</v>
      </c>
      <c r="B18" s="13" t="s">
        <v>483</v>
      </c>
      <c r="C18" s="13" t="s">
        <v>92</v>
      </c>
      <c r="D18" s="13" t="s">
        <v>147</v>
      </c>
      <c r="E18" s="13">
        <v>18000</v>
      </c>
      <c r="F18" s="13">
        <v>30000</v>
      </c>
      <c r="G18" s="13">
        <v>65</v>
      </c>
      <c r="H18" s="13">
        <v>3</v>
      </c>
      <c r="I18" s="13">
        <v>24</v>
      </c>
      <c r="J18" s="13" t="s">
        <v>420</v>
      </c>
      <c r="M18" s="18" t="s">
        <v>575</v>
      </c>
    </row>
    <row r="19" spans="1:13">
      <c r="A19" s="13" t="s">
        <v>439</v>
      </c>
      <c r="B19" s="13" t="s">
        <v>484</v>
      </c>
      <c r="C19" s="13" t="s">
        <v>85</v>
      </c>
      <c r="D19" s="13" t="s">
        <v>128</v>
      </c>
      <c r="E19" s="13">
        <v>37000</v>
      </c>
      <c r="F19" s="13">
        <v>30000</v>
      </c>
      <c r="G19" s="13">
        <v>85</v>
      </c>
      <c r="H19" s="13">
        <v>10</v>
      </c>
      <c r="I19" s="13">
        <v>38</v>
      </c>
      <c r="J19" s="13" t="s">
        <v>417</v>
      </c>
      <c r="M19" s="18" t="s">
        <v>576</v>
      </c>
    </row>
    <row r="20" spans="1:13">
      <c r="A20" s="13" t="s">
        <v>440</v>
      </c>
      <c r="B20" s="13" t="s">
        <v>485</v>
      </c>
      <c r="C20" s="13" t="s">
        <v>154</v>
      </c>
      <c r="D20" s="13" t="s">
        <v>133</v>
      </c>
      <c r="E20" s="13">
        <v>5000</v>
      </c>
      <c r="F20" s="13">
        <v>20000</v>
      </c>
      <c r="G20" s="13">
        <v>78</v>
      </c>
      <c r="H20" s="13">
        <v>2</v>
      </c>
      <c r="I20" s="13">
        <v>30</v>
      </c>
      <c r="J20" s="13" t="s">
        <v>420</v>
      </c>
      <c r="M20" s="18" t="s">
        <v>577</v>
      </c>
    </row>
    <row r="21" spans="1:13" ht="33">
      <c r="A21" s="13" t="s">
        <v>441</v>
      </c>
      <c r="B21" s="13" t="s">
        <v>486</v>
      </c>
      <c r="C21" s="13" t="s">
        <v>94</v>
      </c>
      <c r="D21" s="13" t="s">
        <v>147</v>
      </c>
      <c r="E21" s="13">
        <v>42000</v>
      </c>
      <c r="F21" s="13">
        <v>40000</v>
      </c>
      <c r="G21" s="13">
        <v>96</v>
      </c>
      <c r="H21" s="13">
        <v>12</v>
      </c>
      <c r="I21" s="13">
        <v>45</v>
      </c>
      <c r="J21" s="13" t="s">
        <v>417</v>
      </c>
      <c r="M21" s="18" t="s">
        <v>578</v>
      </c>
    </row>
    <row r="22" spans="1:13">
      <c r="A22" s="13" t="s">
        <v>442</v>
      </c>
      <c r="B22" s="13" t="s">
        <v>487</v>
      </c>
      <c r="C22" s="13" t="s">
        <v>89</v>
      </c>
      <c r="D22" s="13" t="s">
        <v>143</v>
      </c>
      <c r="E22" s="13">
        <v>45000</v>
      </c>
      <c r="F22" s="13">
        <v>40000</v>
      </c>
      <c r="G22" s="13">
        <v>92</v>
      </c>
      <c r="H22" s="13">
        <v>6</v>
      </c>
      <c r="I22" s="13">
        <v>28</v>
      </c>
      <c r="J22" s="13" t="s">
        <v>417</v>
      </c>
      <c r="M22" s="18" t="s">
        <v>579</v>
      </c>
    </row>
    <row r="23" spans="1:13">
      <c r="A23" s="13" t="s">
        <v>443</v>
      </c>
      <c r="B23" s="13" t="s">
        <v>488</v>
      </c>
      <c r="C23" s="13" t="s">
        <v>92</v>
      </c>
      <c r="D23" s="13" t="s">
        <v>147</v>
      </c>
      <c r="E23" s="13">
        <v>18000</v>
      </c>
      <c r="F23" s="13">
        <v>30000</v>
      </c>
      <c r="G23" s="13">
        <v>65</v>
      </c>
      <c r="H23" s="13">
        <v>3</v>
      </c>
      <c r="I23" s="13">
        <v>24</v>
      </c>
      <c r="J23" s="13" t="s">
        <v>420</v>
      </c>
    </row>
    <row r="24" spans="1:13">
      <c r="A24" s="13" t="s">
        <v>444</v>
      </c>
      <c r="B24" s="13" t="s">
        <v>489</v>
      </c>
      <c r="C24" s="13" t="s">
        <v>85</v>
      </c>
      <c r="D24" s="13" t="s">
        <v>128</v>
      </c>
      <c r="E24" s="13">
        <v>37000</v>
      </c>
      <c r="F24" s="13">
        <v>30000</v>
      </c>
      <c r="G24" s="13">
        <v>85</v>
      </c>
      <c r="H24" s="13">
        <v>10</v>
      </c>
      <c r="I24" s="13">
        <v>38</v>
      </c>
      <c r="J24" s="13" t="s">
        <v>417</v>
      </c>
    </row>
    <row r="25" spans="1:13">
      <c r="A25" s="13" t="s">
        <v>445</v>
      </c>
      <c r="B25" s="13" t="s">
        <v>490</v>
      </c>
      <c r="C25" s="13" t="s">
        <v>154</v>
      </c>
      <c r="D25" s="13" t="s">
        <v>133</v>
      </c>
      <c r="E25" s="13">
        <v>5000</v>
      </c>
      <c r="F25" s="13">
        <v>20000</v>
      </c>
      <c r="G25" s="13">
        <v>78</v>
      </c>
      <c r="H25" s="13">
        <v>2</v>
      </c>
      <c r="I25" s="13">
        <v>30</v>
      </c>
      <c r="J25" s="13" t="s">
        <v>420</v>
      </c>
    </row>
    <row r="26" spans="1:13">
      <c r="A26" s="13" t="s">
        <v>446</v>
      </c>
      <c r="B26" s="13" t="s">
        <v>491</v>
      </c>
      <c r="C26" s="13" t="s">
        <v>89</v>
      </c>
      <c r="D26" s="13" t="s">
        <v>143</v>
      </c>
      <c r="E26" s="13">
        <v>45000</v>
      </c>
      <c r="F26" s="13">
        <v>40000</v>
      </c>
      <c r="G26" s="13">
        <v>92</v>
      </c>
      <c r="H26" s="13">
        <v>6</v>
      </c>
      <c r="I26" s="13">
        <v>28</v>
      </c>
      <c r="J26" s="13" t="s">
        <v>417</v>
      </c>
    </row>
    <row r="27" spans="1:13">
      <c r="A27" s="13" t="s">
        <v>447</v>
      </c>
      <c r="B27" s="13" t="s">
        <v>492</v>
      </c>
      <c r="C27" s="13" t="s">
        <v>89</v>
      </c>
      <c r="D27" s="13" t="s">
        <v>143</v>
      </c>
      <c r="E27" s="13">
        <v>45000</v>
      </c>
      <c r="F27" s="13">
        <v>40000</v>
      </c>
      <c r="G27" s="13">
        <v>92</v>
      </c>
      <c r="H27" s="13">
        <v>6</v>
      </c>
      <c r="I27" s="13">
        <v>28</v>
      </c>
      <c r="J27" s="13" t="s">
        <v>417</v>
      </c>
    </row>
    <row r="28" spans="1:13">
      <c r="A28" s="13" t="s">
        <v>448</v>
      </c>
      <c r="B28" s="13" t="s">
        <v>493</v>
      </c>
      <c r="C28" s="13" t="s">
        <v>92</v>
      </c>
      <c r="D28" s="13" t="s">
        <v>147</v>
      </c>
      <c r="E28" s="13">
        <v>18000</v>
      </c>
      <c r="F28" s="13">
        <v>30000</v>
      </c>
      <c r="G28" s="13">
        <v>65</v>
      </c>
      <c r="H28" s="13">
        <v>3</v>
      </c>
      <c r="I28" s="13">
        <v>24</v>
      </c>
      <c r="J28" s="13" t="s">
        <v>420</v>
      </c>
    </row>
    <row r="29" spans="1:13">
      <c r="A29" s="13" t="s">
        <v>449</v>
      </c>
      <c r="B29" s="13" t="s">
        <v>494</v>
      </c>
      <c r="C29" s="13" t="s">
        <v>85</v>
      </c>
      <c r="D29" s="13" t="s">
        <v>128</v>
      </c>
      <c r="E29" s="13">
        <v>37000</v>
      </c>
      <c r="F29" s="13">
        <v>30000</v>
      </c>
      <c r="G29" s="13">
        <v>85</v>
      </c>
      <c r="H29" s="13">
        <v>10</v>
      </c>
      <c r="I29" s="13">
        <v>38</v>
      </c>
      <c r="J29" s="13" t="s">
        <v>417</v>
      </c>
    </row>
    <row r="30" spans="1:13">
      <c r="A30" s="13" t="s">
        <v>450</v>
      </c>
      <c r="B30" s="13" t="s">
        <v>495</v>
      </c>
      <c r="C30" s="13" t="s">
        <v>154</v>
      </c>
      <c r="D30" s="13" t="s">
        <v>133</v>
      </c>
      <c r="E30" s="13">
        <v>5000</v>
      </c>
      <c r="F30" s="13">
        <v>20000</v>
      </c>
      <c r="G30" s="13">
        <v>78</v>
      </c>
      <c r="H30" s="13">
        <v>2</v>
      </c>
      <c r="I30" s="13">
        <v>30</v>
      </c>
      <c r="J30" s="13" t="s">
        <v>420</v>
      </c>
    </row>
    <row r="31" spans="1:13" ht="33">
      <c r="A31" s="13" t="s">
        <v>451</v>
      </c>
      <c r="B31" s="13" t="s">
        <v>496</v>
      </c>
      <c r="C31" s="13" t="s">
        <v>94</v>
      </c>
      <c r="D31" s="13" t="s">
        <v>147</v>
      </c>
      <c r="E31" s="13">
        <v>42000</v>
      </c>
      <c r="F31" s="13">
        <v>40000</v>
      </c>
      <c r="G31" s="13">
        <v>96</v>
      </c>
      <c r="H31" s="13">
        <v>12</v>
      </c>
      <c r="I31" s="13">
        <v>45</v>
      </c>
      <c r="J31" s="13" t="s">
        <v>417</v>
      </c>
    </row>
    <row r="32" spans="1:13">
      <c r="A32" s="13" t="s">
        <v>452</v>
      </c>
      <c r="B32" s="13" t="s">
        <v>497</v>
      </c>
      <c r="C32" s="13" t="s">
        <v>89</v>
      </c>
      <c r="D32" s="13" t="s">
        <v>143</v>
      </c>
      <c r="E32" s="13">
        <v>45000</v>
      </c>
      <c r="F32" s="13">
        <v>40000</v>
      </c>
      <c r="G32" s="13">
        <v>92</v>
      </c>
      <c r="H32" s="13">
        <v>6</v>
      </c>
      <c r="I32" s="13">
        <v>28</v>
      </c>
      <c r="J32" s="13" t="s">
        <v>417</v>
      </c>
    </row>
    <row r="33" spans="1:10">
      <c r="A33" s="13" t="s">
        <v>453</v>
      </c>
      <c r="B33" s="13" t="s">
        <v>498</v>
      </c>
      <c r="C33" s="13" t="s">
        <v>92</v>
      </c>
      <c r="D33" s="13" t="s">
        <v>147</v>
      </c>
      <c r="E33" s="13">
        <v>18000</v>
      </c>
      <c r="F33" s="13">
        <v>30000</v>
      </c>
      <c r="G33" s="13">
        <v>65</v>
      </c>
      <c r="H33" s="13">
        <v>3</v>
      </c>
      <c r="I33" s="13">
        <v>24</v>
      </c>
      <c r="J33" s="13" t="s">
        <v>420</v>
      </c>
    </row>
    <row r="34" spans="1:10">
      <c r="A34" s="13" t="s">
        <v>454</v>
      </c>
      <c r="B34" s="13" t="s">
        <v>499</v>
      </c>
      <c r="C34" s="13" t="s">
        <v>85</v>
      </c>
      <c r="D34" s="13" t="s">
        <v>128</v>
      </c>
      <c r="E34" s="13">
        <v>37000</v>
      </c>
      <c r="F34" s="13">
        <v>30000</v>
      </c>
      <c r="G34" s="13">
        <v>85</v>
      </c>
      <c r="H34" s="13">
        <v>10</v>
      </c>
      <c r="I34" s="13">
        <v>38</v>
      </c>
      <c r="J34" s="13" t="s">
        <v>417</v>
      </c>
    </row>
    <row r="35" spans="1:10">
      <c r="A35" s="13" t="s">
        <v>455</v>
      </c>
      <c r="B35" s="13" t="s">
        <v>500</v>
      </c>
      <c r="C35" s="13" t="s">
        <v>154</v>
      </c>
      <c r="D35" s="13" t="s">
        <v>133</v>
      </c>
      <c r="E35" s="13">
        <v>5000</v>
      </c>
      <c r="F35" s="13">
        <v>20000</v>
      </c>
      <c r="G35" s="13">
        <v>78</v>
      </c>
      <c r="H35" s="13">
        <v>2</v>
      </c>
      <c r="I35" s="13">
        <v>30</v>
      </c>
      <c r="J35" s="13" t="s">
        <v>420</v>
      </c>
    </row>
    <row r="36" spans="1:10">
      <c r="A36" s="13" t="s">
        <v>456</v>
      </c>
      <c r="B36" s="13" t="s">
        <v>501</v>
      </c>
      <c r="C36" s="13" t="s">
        <v>89</v>
      </c>
      <c r="D36" s="13" t="s">
        <v>143</v>
      </c>
      <c r="E36" s="13">
        <v>45000</v>
      </c>
      <c r="F36" s="13">
        <v>40000</v>
      </c>
      <c r="G36" s="13">
        <v>92</v>
      </c>
      <c r="H36" s="13">
        <v>6</v>
      </c>
      <c r="I36" s="13">
        <v>28</v>
      </c>
      <c r="J36" s="13" t="s">
        <v>417</v>
      </c>
    </row>
    <row r="37" spans="1:10">
      <c r="A37" s="13" t="s">
        <v>457</v>
      </c>
      <c r="B37" s="13" t="s">
        <v>502</v>
      </c>
      <c r="C37" s="13" t="s">
        <v>92</v>
      </c>
      <c r="D37" s="13" t="s">
        <v>147</v>
      </c>
      <c r="E37" s="13">
        <v>18000</v>
      </c>
      <c r="F37" s="13">
        <v>30000</v>
      </c>
      <c r="G37" s="13">
        <v>65</v>
      </c>
      <c r="H37" s="13">
        <v>3</v>
      </c>
      <c r="I37" s="13">
        <v>24</v>
      </c>
      <c r="J37" s="13" t="s">
        <v>420</v>
      </c>
    </row>
    <row r="38" spans="1:10">
      <c r="A38" s="13" t="s">
        <v>458</v>
      </c>
      <c r="B38" s="13" t="s">
        <v>503</v>
      </c>
      <c r="C38" s="13" t="s">
        <v>85</v>
      </c>
      <c r="D38" s="13" t="s">
        <v>128</v>
      </c>
      <c r="E38" s="13">
        <v>37000</v>
      </c>
      <c r="F38" s="13">
        <v>30000</v>
      </c>
      <c r="G38" s="13">
        <v>85</v>
      </c>
      <c r="H38" s="13">
        <v>10</v>
      </c>
      <c r="I38" s="13">
        <v>38</v>
      </c>
      <c r="J38" s="13" t="s">
        <v>417</v>
      </c>
    </row>
    <row r="39" spans="1:10">
      <c r="A39" s="13" t="s">
        <v>459</v>
      </c>
      <c r="B39" s="13" t="s">
        <v>504</v>
      </c>
      <c r="C39" s="13" t="s">
        <v>154</v>
      </c>
      <c r="D39" s="13" t="s">
        <v>133</v>
      </c>
      <c r="E39" s="13">
        <v>5000</v>
      </c>
      <c r="F39" s="13">
        <v>20000</v>
      </c>
      <c r="G39" s="13">
        <v>78</v>
      </c>
      <c r="H39" s="13">
        <v>2</v>
      </c>
      <c r="I39" s="13">
        <v>30</v>
      </c>
      <c r="J39" s="13" t="s">
        <v>420</v>
      </c>
    </row>
    <row r="40" spans="1:10">
      <c r="A40" s="13" t="s">
        <v>460</v>
      </c>
      <c r="B40" s="13" t="s">
        <v>505</v>
      </c>
      <c r="C40" s="13" t="s">
        <v>89</v>
      </c>
      <c r="D40" s="13" t="s">
        <v>143</v>
      </c>
      <c r="E40" s="13">
        <v>45000</v>
      </c>
      <c r="F40" s="13">
        <v>40000</v>
      </c>
      <c r="G40" s="13">
        <v>92</v>
      </c>
      <c r="H40" s="13">
        <v>6</v>
      </c>
      <c r="I40" s="13">
        <v>28</v>
      </c>
      <c r="J40" s="13" t="s">
        <v>417</v>
      </c>
    </row>
    <row r="41" spans="1:10">
      <c r="A41" s="13" t="s">
        <v>461</v>
      </c>
      <c r="B41" s="13" t="s">
        <v>506</v>
      </c>
      <c r="C41" s="13" t="s">
        <v>92</v>
      </c>
      <c r="D41" s="13" t="s">
        <v>147</v>
      </c>
      <c r="E41" s="13">
        <v>18000</v>
      </c>
      <c r="F41" s="13">
        <v>30000</v>
      </c>
      <c r="G41" s="13">
        <v>65</v>
      </c>
      <c r="H41" s="13">
        <v>3</v>
      </c>
      <c r="I41" s="13">
        <v>24</v>
      </c>
      <c r="J41" s="13" t="s">
        <v>420</v>
      </c>
    </row>
    <row r="42" spans="1:10">
      <c r="A42" s="13" t="s">
        <v>462</v>
      </c>
      <c r="B42" s="13" t="s">
        <v>507</v>
      </c>
      <c r="C42" s="13" t="s">
        <v>85</v>
      </c>
      <c r="D42" s="13" t="s">
        <v>128</v>
      </c>
      <c r="E42" s="13">
        <v>37000</v>
      </c>
      <c r="F42" s="13">
        <v>30000</v>
      </c>
      <c r="G42" s="13">
        <v>85</v>
      </c>
      <c r="H42" s="13">
        <v>10</v>
      </c>
      <c r="I42" s="13">
        <v>38</v>
      </c>
      <c r="J42" s="13" t="s">
        <v>417</v>
      </c>
    </row>
    <row r="43" spans="1:10">
      <c r="A43" s="13" t="s">
        <v>463</v>
      </c>
      <c r="B43" s="13" t="s">
        <v>508</v>
      </c>
      <c r="C43" s="13" t="s">
        <v>154</v>
      </c>
      <c r="D43" s="13" t="s">
        <v>133</v>
      </c>
      <c r="E43" s="13">
        <v>5000</v>
      </c>
      <c r="F43" s="13">
        <v>20000</v>
      </c>
      <c r="G43" s="13">
        <v>78</v>
      </c>
      <c r="H43" s="13">
        <v>2</v>
      </c>
      <c r="I43" s="13">
        <v>30</v>
      </c>
      <c r="J43" s="13" t="s">
        <v>420</v>
      </c>
    </row>
    <row r="44" spans="1:10" ht="33">
      <c r="A44" s="13" t="s">
        <v>464</v>
      </c>
      <c r="B44" s="13" t="s">
        <v>509</v>
      </c>
      <c r="C44" s="13" t="s">
        <v>94</v>
      </c>
      <c r="D44" s="13" t="s">
        <v>147</v>
      </c>
      <c r="E44" s="13">
        <v>42000</v>
      </c>
      <c r="F44" s="13">
        <v>40000</v>
      </c>
      <c r="G44" s="13">
        <v>96</v>
      </c>
      <c r="H44" s="13">
        <v>12</v>
      </c>
      <c r="I44" s="13">
        <v>45</v>
      </c>
      <c r="J44" s="13" t="s">
        <v>417</v>
      </c>
    </row>
    <row r="45" spans="1:10">
      <c r="A45" s="13" t="s">
        <v>465</v>
      </c>
      <c r="B45" s="13" t="s">
        <v>510</v>
      </c>
      <c r="C45" s="13" t="s">
        <v>89</v>
      </c>
      <c r="D45" s="13" t="s">
        <v>143</v>
      </c>
      <c r="E45" s="13">
        <v>45000</v>
      </c>
      <c r="F45" s="13">
        <v>40000</v>
      </c>
      <c r="G45" s="13">
        <v>92</v>
      </c>
      <c r="H45" s="13">
        <v>6</v>
      </c>
      <c r="I45" s="13">
        <v>28</v>
      </c>
      <c r="J45" s="13" t="s">
        <v>417</v>
      </c>
    </row>
    <row r="46" spans="1:10">
      <c r="A46" s="13" t="s">
        <v>466</v>
      </c>
      <c r="B46" s="13" t="s">
        <v>511</v>
      </c>
      <c r="C46" s="13" t="s">
        <v>92</v>
      </c>
      <c r="D46" s="13" t="s">
        <v>147</v>
      </c>
      <c r="E46" s="13">
        <v>18000</v>
      </c>
      <c r="F46" s="13">
        <v>30000</v>
      </c>
      <c r="G46" s="13">
        <v>65</v>
      </c>
      <c r="H46" s="13">
        <v>3</v>
      </c>
      <c r="I46" s="13">
        <v>24</v>
      </c>
      <c r="J46" s="13" t="s">
        <v>420</v>
      </c>
    </row>
    <row r="47" spans="1:10">
      <c r="A47" s="13" t="s">
        <v>467</v>
      </c>
      <c r="B47" s="13" t="s">
        <v>512</v>
      </c>
      <c r="C47" s="13" t="s">
        <v>85</v>
      </c>
      <c r="D47" s="13" t="s">
        <v>128</v>
      </c>
      <c r="E47" s="13">
        <v>37000</v>
      </c>
      <c r="F47" s="13">
        <v>30000</v>
      </c>
      <c r="G47" s="13">
        <v>85</v>
      </c>
      <c r="H47" s="13">
        <v>10</v>
      </c>
      <c r="I47" s="13">
        <v>38</v>
      </c>
      <c r="J47" s="13" t="s">
        <v>417</v>
      </c>
    </row>
    <row r="48" spans="1:10">
      <c r="A48" s="13" t="s">
        <v>468</v>
      </c>
      <c r="B48" s="13" t="s">
        <v>513</v>
      </c>
      <c r="C48" s="13" t="s">
        <v>154</v>
      </c>
      <c r="D48" s="13" t="s">
        <v>133</v>
      </c>
      <c r="E48" s="13">
        <v>5000</v>
      </c>
      <c r="F48" s="13">
        <v>20000</v>
      </c>
      <c r="G48" s="13">
        <v>78</v>
      </c>
      <c r="H48" s="13">
        <v>2</v>
      </c>
      <c r="I48" s="13">
        <v>30</v>
      </c>
      <c r="J48" s="13" t="s">
        <v>420</v>
      </c>
    </row>
    <row r="49" spans="1:10" ht="33">
      <c r="A49" s="13" t="s">
        <v>469</v>
      </c>
      <c r="B49" s="13" t="s">
        <v>514</v>
      </c>
      <c r="C49" s="13" t="s">
        <v>94</v>
      </c>
      <c r="D49" s="13" t="s">
        <v>147</v>
      </c>
      <c r="E49" s="13">
        <v>42000</v>
      </c>
      <c r="F49" s="13">
        <v>40000</v>
      </c>
      <c r="G49" s="13">
        <v>96</v>
      </c>
      <c r="H49" s="13">
        <v>12</v>
      </c>
      <c r="I49" s="13">
        <v>45</v>
      </c>
      <c r="J49" s="13" t="s">
        <v>417</v>
      </c>
    </row>
    <row r="50" spans="1:10">
      <c r="A50" s="13" t="s">
        <v>470</v>
      </c>
      <c r="B50" s="13" t="s">
        <v>515</v>
      </c>
      <c r="C50" s="13" t="s">
        <v>89</v>
      </c>
      <c r="D50" s="13" t="s">
        <v>143</v>
      </c>
      <c r="E50" s="13">
        <v>45000</v>
      </c>
      <c r="F50" s="13">
        <v>40000</v>
      </c>
      <c r="G50" s="13">
        <v>92</v>
      </c>
      <c r="H50" s="13">
        <v>6</v>
      </c>
      <c r="I50" s="13">
        <v>28</v>
      </c>
      <c r="J50" s="13" t="s">
        <v>417</v>
      </c>
    </row>
    <row r="51" spans="1:10">
      <c r="A51" s="13" t="s">
        <v>471</v>
      </c>
      <c r="B51" s="13" t="s">
        <v>516</v>
      </c>
      <c r="C51" s="13" t="s">
        <v>92</v>
      </c>
      <c r="D51" s="13" t="s">
        <v>147</v>
      </c>
      <c r="E51" s="13">
        <v>18000</v>
      </c>
      <c r="F51" s="13">
        <v>30000</v>
      </c>
      <c r="G51" s="13">
        <v>65</v>
      </c>
      <c r="H51" s="13">
        <v>3</v>
      </c>
      <c r="I51" s="13">
        <v>24</v>
      </c>
      <c r="J51" s="13" t="s">
        <v>420</v>
      </c>
    </row>
    <row r="52" spans="1:10">
      <c r="C52" s="13"/>
      <c r="D52" s="13"/>
      <c r="E52" s="13"/>
      <c r="F52" s="13"/>
      <c r="G52" s="13"/>
      <c r="H52" s="13"/>
      <c r="I52" s="13"/>
      <c r="J52" s="13"/>
    </row>
    <row r="53" spans="1:10">
      <c r="C53" s="13"/>
      <c r="D53" s="13"/>
      <c r="E53" s="13"/>
      <c r="F53" s="13"/>
      <c r="G53" s="13"/>
      <c r="H53" s="13"/>
      <c r="I53" s="13"/>
      <c r="J53" s="13"/>
    </row>
    <row r="54" spans="1:10">
      <c r="C54" s="13"/>
      <c r="D54" s="13"/>
      <c r="E54" s="13"/>
      <c r="F54" s="13"/>
      <c r="G54" s="13"/>
      <c r="H54" s="13"/>
      <c r="I54" s="13"/>
      <c r="J54" s="13"/>
    </row>
  </sheetData>
  <phoneticPr fontId="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83BD-2E2E-443A-B315-2BEBB421FAC8}">
  <dimension ref="A1:A81"/>
  <sheetViews>
    <sheetView topLeftCell="A61" workbookViewId="0">
      <selection activeCell="J1" sqref="J1"/>
    </sheetView>
  </sheetViews>
  <sheetFormatPr defaultRowHeight="16.5"/>
  <sheetData>
    <row r="1" spans="1:1" ht="23.25">
      <c r="A1" s="29" t="s">
        <v>517</v>
      </c>
    </row>
    <row r="3" spans="1:1" ht="18">
      <c r="A3" s="30" t="s">
        <v>518</v>
      </c>
    </row>
    <row r="5" spans="1:1">
      <c r="A5" s="2" t="s">
        <v>519</v>
      </c>
    </row>
    <row r="7" spans="1:1" ht="18">
      <c r="A7" s="30" t="s">
        <v>520</v>
      </c>
    </row>
    <row r="9" spans="1:1">
      <c r="A9" s="2" t="s">
        <v>521</v>
      </c>
    </row>
    <row r="11" spans="1:1" ht="18">
      <c r="A11" s="30" t="s">
        <v>522</v>
      </c>
    </row>
    <row r="13" spans="1:1">
      <c r="A13" s="2" t="s">
        <v>523</v>
      </c>
    </row>
    <row r="15" spans="1:1" ht="18">
      <c r="A15" s="30" t="s">
        <v>524</v>
      </c>
    </row>
    <row r="17" spans="1:1">
      <c r="A17" s="2" t="s">
        <v>525</v>
      </c>
    </row>
    <row r="19" spans="1:1" ht="18">
      <c r="A19" s="30" t="s">
        <v>526</v>
      </c>
    </row>
    <row r="21" spans="1:1">
      <c r="A21" s="2" t="s">
        <v>527</v>
      </c>
    </row>
    <row r="23" spans="1:1" ht="18">
      <c r="A23" s="30" t="s">
        <v>528</v>
      </c>
    </row>
    <row r="25" spans="1:1">
      <c r="A25" s="2" t="s">
        <v>529</v>
      </c>
    </row>
    <row r="27" spans="1:1" ht="18">
      <c r="A27" s="30" t="s">
        <v>530</v>
      </c>
    </row>
    <row r="29" spans="1:1">
      <c r="A29" s="2" t="s">
        <v>531</v>
      </c>
    </row>
    <row r="31" spans="1:1" ht="18">
      <c r="A31" s="30" t="s">
        <v>532</v>
      </c>
    </row>
    <row r="33" spans="1:1">
      <c r="A33" s="2" t="s">
        <v>533</v>
      </c>
    </row>
    <row r="35" spans="1:1" ht="18">
      <c r="A35" s="30" t="s">
        <v>534</v>
      </c>
    </row>
    <row r="37" spans="1:1">
      <c r="A37" s="2" t="s">
        <v>535</v>
      </c>
    </row>
    <row r="39" spans="1:1" ht="18">
      <c r="A39" s="30" t="s">
        <v>536</v>
      </c>
    </row>
    <row r="41" spans="1:1">
      <c r="A41" s="2" t="s">
        <v>537</v>
      </c>
    </row>
    <row r="43" spans="1:1" ht="18">
      <c r="A43" s="30" t="s">
        <v>538</v>
      </c>
    </row>
    <row r="45" spans="1:1">
      <c r="A45" s="2" t="s">
        <v>539</v>
      </c>
    </row>
    <row r="47" spans="1:1" ht="18">
      <c r="A47" s="30" t="s">
        <v>540</v>
      </c>
    </row>
    <row r="49" spans="1:1">
      <c r="A49" s="2" t="s">
        <v>541</v>
      </c>
    </row>
    <row r="51" spans="1:1" ht="18">
      <c r="A51" s="30" t="s">
        <v>542</v>
      </c>
    </row>
    <row r="53" spans="1:1">
      <c r="A53" s="2" t="s">
        <v>543</v>
      </c>
    </row>
    <row r="55" spans="1:1" ht="18">
      <c r="A55" s="30" t="s">
        <v>544</v>
      </c>
    </row>
    <row r="57" spans="1:1">
      <c r="A57" s="2" t="s">
        <v>545</v>
      </c>
    </row>
    <row r="59" spans="1:1" ht="18">
      <c r="A59" s="30" t="s">
        <v>546</v>
      </c>
    </row>
    <row r="61" spans="1:1">
      <c r="A61" s="2" t="s">
        <v>547</v>
      </c>
    </row>
    <row r="63" spans="1:1" ht="18">
      <c r="A63" s="30" t="s">
        <v>548</v>
      </c>
    </row>
    <row r="65" spans="1:1">
      <c r="A65" s="2" t="s">
        <v>549</v>
      </c>
    </row>
    <row r="67" spans="1:1" ht="18">
      <c r="A67" s="30" t="s">
        <v>550</v>
      </c>
    </row>
    <row r="69" spans="1:1">
      <c r="A69" s="2" t="s">
        <v>551</v>
      </c>
    </row>
    <row r="71" spans="1:1" ht="18">
      <c r="A71" s="30" t="s">
        <v>552</v>
      </c>
    </row>
    <row r="73" spans="1:1">
      <c r="A73" s="2" t="s">
        <v>553</v>
      </c>
    </row>
    <row r="75" spans="1:1" ht="18">
      <c r="A75" s="30" t="s">
        <v>554</v>
      </c>
    </row>
    <row r="77" spans="1:1">
      <c r="A77" s="2" t="s">
        <v>555</v>
      </c>
    </row>
    <row r="79" spans="1:1" ht="18">
      <c r="A79" s="30" t="s">
        <v>556</v>
      </c>
    </row>
    <row r="81" spans="1:1">
      <c r="A81" s="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Topics</vt:lpstr>
      <vt:lpstr>Notes</vt:lpstr>
      <vt:lpstr>PT Practice</vt:lpstr>
      <vt:lpstr>Pivot Table</vt:lpstr>
      <vt:lpstr>Raw Data</vt:lpstr>
      <vt:lpstr>If Function</vt:lpstr>
      <vt:lpstr>Assesment</vt:lpstr>
      <vt:lpstr>AND-OR</vt:lpstr>
      <vt:lpstr>Nested IF</vt:lpstr>
      <vt:lpstr>IF Practice sheet </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Thakur</dc:creator>
  <cp:lastModifiedBy>Shankh Chatterjee</cp:lastModifiedBy>
  <cp:lastPrinted>2025-08-20T10:54:19Z</cp:lastPrinted>
  <dcterms:created xsi:type="dcterms:W3CDTF">2025-08-19T17:50:03Z</dcterms:created>
  <dcterms:modified xsi:type="dcterms:W3CDTF">2026-03-03T07:31:27Z</dcterms:modified>
</cp:coreProperties>
</file>