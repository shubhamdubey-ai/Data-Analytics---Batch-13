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https://d.docs.live.net/097fae2e57f1130e/Documents/LMS PPTs/Excel/"/>
    </mc:Choice>
  </mc:AlternateContent>
  <xr:revisionPtr revIDLastSave="4" documentId="13_ncr:1_{5C5B4439-7378-483E-9B9E-7AC0B3DAAEA8}" xr6:coauthVersionLast="47" xr6:coauthVersionMax="47" xr10:uidLastSave="{4FC4C115-4526-4847-9D1F-0B4840E4339B}"/>
  <bookViews>
    <workbookView xWindow="-120" yWindow="-120" windowWidth="20730" windowHeight="11040" firstSheet="4" activeTab="8" xr2:uid="{00000000-000D-0000-FFFF-FFFF00000000}"/>
  </bookViews>
  <sheets>
    <sheet name="Topics" sheetId="8" r:id="rId1"/>
    <sheet name="Notes" sheetId="9" r:id="rId2"/>
    <sheet name="Main Data" sheetId="1" r:id="rId3"/>
    <sheet name="Sort &amp; Filter" sheetId="2" r:id="rId4"/>
    <sheet name="Find &amp; Replace" sheetId="3" r:id="rId5"/>
    <sheet name="Text to Columns" sheetId="4" r:id="rId6"/>
    <sheet name="Data Validation" sheetId="5" r:id="rId7"/>
    <sheet name="Remove Duplicates" sheetId="6" r:id="rId8"/>
    <sheet name="Group &amp; Ungroup" sheetId="7" r:id="rId9"/>
  </sheets>
  <definedNames>
    <definedName name="_xlnm._FilterDatabase" localSheetId="3" hidden="1">'Sort &amp; Filter'!$F$1:$F$31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6" i="5" l="1"/>
  <c r="K16" i="5"/>
  <c r="H30" i="2"/>
  <c r="H5" i="2"/>
  <c r="H21" i="2"/>
  <c r="H7" i="2"/>
  <c r="H9" i="2"/>
  <c r="H19" i="2"/>
  <c r="H24" i="2"/>
  <c r="H12" i="2"/>
  <c r="H17" i="2"/>
  <c r="H14" i="2"/>
  <c r="H22" i="2"/>
  <c r="H4" i="2"/>
  <c r="H13" i="2"/>
  <c r="H6" i="2"/>
  <c r="H28" i="2"/>
  <c r="H3" i="2"/>
  <c r="H31" i="2"/>
  <c r="H8" i="2"/>
  <c r="H25" i="2"/>
  <c r="H11" i="2"/>
  <c r="H15" i="2"/>
  <c r="H16" i="2"/>
  <c r="H18" i="2"/>
  <c r="H20" i="2"/>
  <c r="H10" i="2"/>
  <c r="H23" i="2"/>
  <c r="H26" i="2"/>
  <c r="H29" i="2"/>
  <c r="H27" i="2"/>
  <c r="H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2" i="2"/>
</calcChain>
</file>

<file path=xl/sharedStrings.xml><?xml version="1.0" encoding="utf-8"?>
<sst xmlns="http://schemas.openxmlformats.org/spreadsheetml/2006/main" count="1462" uniqueCount="246">
  <si>
    <t>ID</t>
  </si>
  <si>
    <t>Name</t>
  </si>
  <si>
    <t>Department</t>
  </si>
  <si>
    <t>City</t>
  </si>
  <si>
    <t>Email</t>
  </si>
  <si>
    <t>Salary</t>
  </si>
  <si>
    <t>Joining Date</t>
  </si>
  <si>
    <t>EMP100</t>
  </si>
  <si>
    <t>Amit</t>
  </si>
  <si>
    <t>IT</t>
  </si>
  <si>
    <t>Hyderabad</t>
  </si>
  <si>
    <t>amit@yahoo.com</t>
  </si>
  <si>
    <t>01-01-2020</t>
  </si>
  <si>
    <t>EMP101</t>
  </si>
  <si>
    <t>Roshni</t>
  </si>
  <si>
    <t>HR</t>
  </si>
  <si>
    <t>Delhi</t>
  </si>
  <si>
    <t>roshni@yahoo.com</t>
  </si>
  <si>
    <t>30-05-2020</t>
  </si>
  <si>
    <t>EMP102</t>
  </si>
  <si>
    <t>Neha</t>
  </si>
  <si>
    <t>Finance</t>
  </si>
  <si>
    <t>Bangalore</t>
  </si>
  <si>
    <t>neha@company.com</t>
  </si>
  <si>
    <t>27-10-2020</t>
  </si>
  <si>
    <t>EMP103</t>
  </si>
  <si>
    <t>Raj</t>
  </si>
  <si>
    <t>Sales</t>
  </si>
  <si>
    <t>raj@company.com</t>
  </si>
  <si>
    <t>26-03-2021</t>
  </si>
  <si>
    <t>EMP104</t>
  </si>
  <si>
    <t>Simran</t>
  </si>
  <si>
    <t>simran@outlook.com</t>
  </si>
  <si>
    <t>23-08-2021</t>
  </si>
  <si>
    <t>EMP105</t>
  </si>
  <si>
    <t>Arjun</t>
  </si>
  <si>
    <t>arjun@gmail.com</t>
  </si>
  <si>
    <t>20-01-2022</t>
  </si>
  <si>
    <t>EMP106</t>
  </si>
  <si>
    <t>Meera</t>
  </si>
  <si>
    <t>meera@gmail.com</t>
  </si>
  <si>
    <t>19-06-2022</t>
  </si>
  <si>
    <t>EMP107</t>
  </si>
  <si>
    <t>Kunal</t>
  </si>
  <si>
    <t>Admin</t>
  </si>
  <si>
    <t>kunal@outlook.com</t>
  </si>
  <si>
    <t>16-11-2022</t>
  </si>
  <si>
    <t>EMP108</t>
  </si>
  <si>
    <t>Priya</t>
  </si>
  <si>
    <t>priya@company.com</t>
  </si>
  <si>
    <t>15-04-2023</t>
  </si>
  <si>
    <t>EMP109</t>
  </si>
  <si>
    <t>Vikas</t>
  </si>
  <si>
    <t>Chennai</t>
  </si>
  <si>
    <t>vikas@outlook.com</t>
  </si>
  <si>
    <t>12-09-2023</t>
  </si>
  <si>
    <t>EMP110</t>
  </si>
  <si>
    <t>Reema</t>
  </si>
  <si>
    <t>reema@gmail.com</t>
  </si>
  <si>
    <t>09-02-2024</t>
  </si>
  <si>
    <t>EMP111</t>
  </si>
  <si>
    <t>Ravi</t>
  </si>
  <si>
    <t>ravi@gmail.com</t>
  </si>
  <si>
    <t>08-07-2024</t>
  </si>
  <si>
    <t>EMP112</t>
  </si>
  <si>
    <t>Sonia</t>
  </si>
  <si>
    <t>sonia@yahoo.com</t>
  </si>
  <si>
    <t>05-12-2024</t>
  </si>
  <si>
    <t>EMP113</t>
  </si>
  <si>
    <t>Deepak</t>
  </si>
  <si>
    <t>Kolkata</t>
  </si>
  <si>
    <t>deepak@outlook.com</t>
  </si>
  <si>
    <t>04-05-2025</t>
  </si>
  <si>
    <t>EMP114</t>
  </si>
  <si>
    <t>Nisha</t>
  </si>
  <si>
    <t>nisha@gmail.com</t>
  </si>
  <si>
    <t>01-10-2025</t>
  </si>
  <si>
    <t>EMP115</t>
  </si>
  <si>
    <t>Sahil</t>
  </si>
  <si>
    <t>sahil@outlook.com</t>
  </si>
  <si>
    <t>28-02-2026</t>
  </si>
  <si>
    <t>EMP116</t>
  </si>
  <si>
    <t>Pooja</t>
  </si>
  <si>
    <t>Mumbai</t>
  </si>
  <si>
    <t>pooja@outlook.com</t>
  </si>
  <si>
    <t>28-07-2026</t>
  </si>
  <si>
    <t>EMP117</t>
  </si>
  <si>
    <t>Tarun</t>
  </si>
  <si>
    <t>tarun@outlook.com</t>
  </si>
  <si>
    <t>25-12-2026</t>
  </si>
  <si>
    <t>EMP118</t>
  </si>
  <si>
    <t>Divya</t>
  </si>
  <si>
    <t>divya@company.com</t>
  </si>
  <si>
    <t>24-05-2027</t>
  </si>
  <si>
    <t>EMP119</t>
  </si>
  <si>
    <t>Manish</t>
  </si>
  <si>
    <t>Marketing</t>
  </si>
  <si>
    <t>manish@gmail.com</t>
  </si>
  <si>
    <t>21-10-2027</t>
  </si>
  <si>
    <t>EMP120</t>
  </si>
  <si>
    <t>Shweta</t>
  </si>
  <si>
    <t>shweta@outlook.com</t>
  </si>
  <si>
    <t>19-03-2028</t>
  </si>
  <si>
    <t>EMP121</t>
  </si>
  <si>
    <t>Alok</t>
  </si>
  <si>
    <t>alok@yahoo.com</t>
  </si>
  <si>
    <t>16-08-2028</t>
  </si>
  <si>
    <t>EMP122</t>
  </si>
  <si>
    <t>Kirti</t>
  </si>
  <si>
    <t>kirti@gmail.com</t>
  </si>
  <si>
    <t>13-01-2029</t>
  </si>
  <si>
    <t>EMP123</t>
  </si>
  <si>
    <t>Varun</t>
  </si>
  <si>
    <t>varun@yahoo.com</t>
  </si>
  <si>
    <t>12-06-2029</t>
  </si>
  <si>
    <t>EMP124</t>
  </si>
  <si>
    <t>Tanvi</t>
  </si>
  <si>
    <t>tanvi@company.com</t>
  </si>
  <si>
    <t>09-11-2029</t>
  </si>
  <si>
    <t>EMP125</t>
  </si>
  <si>
    <t>Ankit</t>
  </si>
  <si>
    <t>ankit@company.com</t>
  </si>
  <si>
    <t>08-04-2030</t>
  </si>
  <si>
    <t>EMP126</t>
  </si>
  <si>
    <t>Seema</t>
  </si>
  <si>
    <t>seema@gmail.com</t>
  </si>
  <si>
    <t>05-09-2030</t>
  </si>
  <si>
    <t>EMP127</t>
  </si>
  <si>
    <t>Gaurav</t>
  </si>
  <si>
    <t>gaurav@yahoo.com</t>
  </si>
  <si>
    <t>02-02-2031</t>
  </si>
  <si>
    <t>EMP128</t>
  </si>
  <si>
    <t>Anjali</t>
  </si>
  <si>
    <t>anjali@outlook.com</t>
  </si>
  <si>
    <t>02-07-2031</t>
  </si>
  <si>
    <t>EMP129</t>
  </si>
  <si>
    <t>Rahul</t>
  </si>
  <si>
    <t>rahul@gmail.com</t>
  </si>
  <si>
    <t>29-11-2031</t>
  </si>
  <si>
    <t>Sort &amp; Filter</t>
  </si>
  <si>
    <t>1. Sort the data by Salary in ascending order.</t>
  </si>
  <si>
    <t>2. Sort the data first by Department, then by Salary (highest first).</t>
  </si>
  <si>
    <t>3. Use Filter to display only employees from 'IT' department.</t>
  </si>
  <si>
    <t>4. Filter employees whose Salary is more than 60,000.</t>
  </si>
  <si>
    <t>5. Apply a filter to show employees who joined after 01-01-2023.</t>
  </si>
  <si>
    <t>6. Sort the data by Joining Date (newest first).</t>
  </si>
  <si>
    <t>7. Use Filter to show employees from Mumbai OR earning more than 70,000.</t>
  </si>
  <si>
    <t>8. Apply multiple sorting: Department (A-Z), then City (Z-A), then Salary (Ascending).</t>
  </si>
  <si>
    <t>9. Use Filter to display employees whose name starts with 'A'.</t>
  </si>
  <si>
    <t>Find &amp; Replace</t>
  </si>
  <si>
    <t>2. Find and replace all occurrences of 'Admin' with 'Operations'.</t>
  </si>
  <si>
    <t>3. Use Find &amp; Replace to change 'Delhi' to 'New Delhi'.</t>
  </si>
  <si>
    <t>4. Replace all '@yahoo.com' with '@company.org'.</t>
  </si>
  <si>
    <t>5. Replace Department 'Finance' with 'Accounts'.</t>
  </si>
  <si>
    <t>Text to Columns</t>
  </si>
  <si>
    <t>1. Use Text to Columns to split the Email column into Name and Domain.</t>
  </si>
  <si>
    <t>2. Use Text to Columns to split Joining Date into Day, Month, and Year.</t>
  </si>
  <si>
    <t>3. Use Text to Columns to separate ID (EMP###) into 'Prefix' and 'Number'.</t>
  </si>
  <si>
    <t>4. Split City column if it contains multiple words (like 'New Delhi').</t>
  </si>
  <si>
    <t>5. Extract First Name and Last Name if names are in 'First Last' format.</t>
  </si>
  <si>
    <t>Data Validation</t>
  </si>
  <si>
    <t>1. Apply Data Validation to Department column so only HR, IT, Sales are allowed.</t>
  </si>
  <si>
    <t>2. Apply Data Validation to Salary column to only allow values between 30000 and 80000.</t>
  </si>
  <si>
    <t>3. Apply Data Validation with a dropdown for City column.</t>
  </si>
  <si>
    <t>Remove Duplicates</t>
  </si>
  <si>
    <t>1. Use Remove Duplicates on the City column.</t>
  </si>
  <si>
    <t>2. Use Remove Duplicates on Email column and check if any duplicates exist.</t>
  </si>
  <si>
    <t>3. Remove Duplicates from Department &amp; City combination.</t>
  </si>
  <si>
    <t>4. Remove Duplicates from Name column.</t>
  </si>
  <si>
    <t>5. Check if Salary column has duplicates and remove them.</t>
  </si>
  <si>
    <t>Group &amp; Ungroup</t>
  </si>
  <si>
    <t>1. Group the data by Department.</t>
  </si>
  <si>
    <t>2. Group the data by City and then collapse it.</t>
  </si>
  <si>
    <t>3. Ungroup the previously grouped data.</t>
  </si>
  <si>
    <t>4. Group data by Salary ranges (below 40k, 40k-70k, above 70k).</t>
  </si>
  <si>
    <t>5. Group the data by Joining Year.</t>
  </si>
  <si>
    <t>Mixed Practice Questions</t>
  </si>
  <si>
    <r>
      <t xml:space="preserve">1. Sort employees by </t>
    </r>
    <r>
      <rPr>
        <b/>
        <sz val="11"/>
        <color theme="1"/>
        <rFont val="Calibri"/>
        <family val="2"/>
        <scheme val="minor"/>
      </rPr>
      <t>Department</t>
    </r>
    <r>
      <rPr>
        <sz val="11"/>
        <color theme="1"/>
        <rFont val="Calibri"/>
        <family val="2"/>
        <scheme val="minor"/>
      </rPr>
      <t xml:space="preserve"> and then apply a </t>
    </r>
    <r>
      <rPr>
        <b/>
        <sz val="11"/>
        <color theme="1"/>
        <rFont val="Calibri"/>
        <family val="2"/>
        <scheme val="minor"/>
      </rPr>
      <t>Filter</t>
    </r>
    <r>
      <rPr>
        <sz val="11"/>
        <color theme="1"/>
        <rFont val="Calibri"/>
        <family val="2"/>
        <scheme val="minor"/>
      </rPr>
      <t xml:space="preserve"> to show only those from "IT" earning above </t>
    </r>
    <r>
      <rPr>
        <b/>
        <sz val="11"/>
        <color theme="1"/>
        <rFont val="Calibri"/>
        <family val="2"/>
        <scheme val="minor"/>
      </rPr>
      <t>50,000</t>
    </r>
    <r>
      <rPr>
        <sz val="11"/>
        <color theme="1"/>
        <rFont val="Calibri"/>
        <family val="2"/>
        <scheme val="minor"/>
      </rPr>
      <t>.</t>
    </r>
  </si>
  <si>
    <r>
      <t xml:space="preserve">2. Use </t>
    </r>
    <r>
      <rPr>
        <b/>
        <sz val="11"/>
        <color theme="1"/>
        <rFont val="Calibri"/>
        <family val="2"/>
        <scheme val="minor"/>
      </rPr>
      <t>Find &amp; Replace</t>
    </r>
    <r>
      <rPr>
        <sz val="11"/>
        <color theme="1"/>
        <rFont val="Calibri"/>
        <family val="2"/>
        <scheme val="minor"/>
      </rPr>
      <t xml:space="preserve"> to change all "@outlook.com" emails into "@companymail.com".</t>
    </r>
  </si>
  <si>
    <r>
      <t xml:space="preserve">3. Apply </t>
    </r>
    <r>
      <rPr>
        <b/>
        <sz val="11"/>
        <color theme="1"/>
        <rFont val="Calibri"/>
        <family val="2"/>
        <scheme val="minor"/>
      </rPr>
      <t>Text to Columns</t>
    </r>
    <r>
      <rPr>
        <sz val="11"/>
        <color theme="1"/>
        <rFont val="Calibri"/>
        <family val="2"/>
        <scheme val="minor"/>
      </rPr>
      <t xml:space="preserve"> on the Joining Date column to split into </t>
    </r>
    <r>
      <rPr>
        <b/>
        <sz val="11"/>
        <color theme="1"/>
        <rFont val="Calibri"/>
        <family val="2"/>
        <scheme val="minor"/>
      </rPr>
      <t>Day, Month, Year</t>
    </r>
    <r>
      <rPr>
        <sz val="11"/>
        <color theme="1"/>
        <rFont val="Calibri"/>
        <family val="2"/>
        <scheme val="minor"/>
      </rPr>
      <t xml:space="preserve"> and then </t>
    </r>
    <r>
      <rPr>
        <b/>
        <sz val="11"/>
        <color theme="1"/>
        <rFont val="Calibri"/>
        <family val="2"/>
        <scheme val="minor"/>
      </rPr>
      <t>Sort by Year</t>
    </r>
    <r>
      <rPr>
        <sz val="11"/>
        <color theme="1"/>
        <rFont val="Calibri"/>
        <family val="2"/>
        <scheme val="minor"/>
      </rPr>
      <t>.</t>
    </r>
  </si>
  <si>
    <r>
      <t xml:space="preserve">4. Apply </t>
    </r>
    <r>
      <rPr>
        <b/>
        <sz val="11"/>
        <color theme="1"/>
        <rFont val="Calibri"/>
        <family val="2"/>
        <scheme val="minor"/>
      </rPr>
      <t>Data Validation</t>
    </r>
    <r>
      <rPr>
        <sz val="11"/>
        <color theme="1"/>
        <rFont val="Calibri"/>
        <family val="2"/>
        <scheme val="minor"/>
      </rPr>
      <t xml:space="preserve"> on the Salary column to allow only salaries between </t>
    </r>
    <r>
      <rPr>
        <b/>
        <sz val="11"/>
        <color theme="1"/>
        <rFont val="Calibri"/>
        <family val="2"/>
        <scheme val="minor"/>
      </rPr>
      <t>25,000 and 85,000</t>
    </r>
    <r>
      <rPr>
        <sz val="11"/>
        <color theme="1"/>
        <rFont val="Calibri"/>
        <family val="2"/>
        <scheme val="minor"/>
      </rPr>
      <t>, then test by entering 1,00,000.</t>
    </r>
  </si>
  <si>
    <r>
      <t xml:space="preserve">5. Remove </t>
    </r>
    <r>
      <rPr>
        <b/>
        <sz val="11"/>
        <color theme="1"/>
        <rFont val="Calibri"/>
        <family val="2"/>
        <scheme val="minor"/>
      </rPr>
      <t>Duplicate Cities</t>
    </r>
    <r>
      <rPr>
        <sz val="11"/>
        <color theme="1"/>
        <rFont val="Calibri"/>
        <family val="2"/>
        <scheme val="minor"/>
      </rPr>
      <t xml:space="preserve"> but keep only the first occurrence.</t>
    </r>
  </si>
  <si>
    <r>
      <t xml:space="preserve">6. Group employees by </t>
    </r>
    <r>
      <rPr>
        <b/>
        <sz val="11"/>
        <color theme="1"/>
        <rFont val="Calibri"/>
        <family val="2"/>
        <scheme val="minor"/>
      </rPr>
      <t>Department</t>
    </r>
    <r>
      <rPr>
        <sz val="11"/>
        <color theme="1"/>
        <rFont val="Calibri"/>
        <family val="2"/>
        <scheme val="minor"/>
      </rPr>
      <t xml:space="preserve"> and then by </t>
    </r>
    <r>
      <rPr>
        <b/>
        <sz val="11"/>
        <color theme="1"/>
        <rFont val="Calibri"/>
        <family val="2"/>
        <scheme val="minor"/>
      </rPr>
      <t>City</t>
    </r>
    <r>
      <rPr>
        <sz val="11"/>
        <color theme="1"/>
        <rFont val="Calibri"/>
        <family val="2"/>
        <scheme val="minor"/>
      </rPr>
      <t>, then collapse the outline.</t>
    </r>
  </si>
  <si>
    <r>
      <t xml:space="preserve">7. Use </t>
    </r>
    <r>
      <rPr>
        <b/>
        <sz val="11"/>
        <color theme="1"/>
        <rFont val="Calibri"/>
        <family val="2"/>
        <scheme val="minor"/>
      </rPr>
      <t>Find &amp; Replace</t>
    </r>
    <r>
      <rPr>
        <sz val="11"/>
        <color theme="1"/>
        <rFont val="Calibri"/>
        <family val="2"/>
        <scheme val="minor"/>
      </rPr>
      <t xml:space="preserve"> to replace all occurrences of "Sales" with "Business Development" and then check for duplicates in the Department column.</t>
    </r>
  </si>
  <si>
    <r>
      <t xml:space="preserve">8. Sort employees by Salary (highest first), then Filter those who joined </t>
    </r>
    <r>
      <rPr>
        <b/>
        <sz val="11"/>
        <color theme="1"/>
        <rFont val="Calibri"/>
        <family val="2"/>
        <scheme val="minor"/>
      </rPr>
      <t>after 01-01-2022</t>
    </r>
    <r>
      <rPr>
        <sz val="11"/>
        <color theme="1"/>
        <rFont val="Calibri"/>
        <family val="2"/>
        <scheme val="minor"/>
      </rPr>
      <t>.</t>
    </r>
  </si>
  <si>
    <r>
      <t xml:space="preserve">9. Create a </t>
    </r>
    <r>
      <rPr>
        <b/>
        <sz val="11"/>
        <color theme="1"/>
        <rFont val="Calibri"/>
        <family val="2"/>
        <scheme val="minor"/>
      </rPr>
      <t>dropdown validation list</t>
    </r>
    <r>
      <rPr>
        <sz val="11"/>
        <color theme="1"/>
        <rFont val="Calibri"/>
        <family val="2"/>
        <scheme val="minor"/>
      </rPr>
      <t xml:space="preserve"> for the City column (Delhi, Mumbai, Bangalore, Chennai) and test with a wrong entry.</t>
    </r>
  </si>
  <si>
    <r>
      <t xml:space="preserve">10. Use </t>
    </r>
    <r>
      <rPr>
        <b/>
        <sz val="11"/>
        <color theme="1"/>
        <rFont val="Calibri"/>
        <family val="2"/>
        <scheme val="minor"/>
      </rPr>
      <t>Text to Columns</t>
    </r>
    <r>
      <rPr>
        <sz val="11"/>
        <color theme="1"/>
        <rFont val="Calibri"/>
        <family val="2"/>
        <scheme val="minor"/>
      </rPr>
      <t xml:space="preserve"> on the Email column to split into </t>
    </r>
    <r>
      <rPr>
        <b/>
        <sz val="11"/>
        <color theme="1"/>
        <rFont val="Calibri"/>
        <family val="2"/>
        <scheme val="minor"/>
      </rPr>
      <t>Username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, then Remove Duplicates from the Domain list.</t>
    </r>
  </si>
  <si>
    <t>Editing (Sort &amp; Filter, Find &amp; Replace)</t>
  </si>
  <si>
    <t>Data Tools (Text to Columns, Data Validation, Remove Duplicates)</t>
  </si>
  <si>
    <t>Outline (Group &amp; Ungroup)</t>
  </si>
  <si>
    <t>Sub-Topic</t>
  </si>
  <si>
    <t>Explanation (with Steps/Syntax)</t>
  </si>
  <si>
    <t>Real Life Example</t>
  </si>
  <si>
    <t>Sort (Ascending)</t>
  </si>
  <si>
    <t>Sort arranges data from smallest to largest (A→Z or 0→9). Steps: Select column → Go to Data → Click Sort A to Z.</t>
  </si>
  <si>
    <t>Arranging student names in alphabetical order from A to Z.</t>
  </si>
  <si>
    <t>Sort (Descending)</t>
  </si>
  <si>
    <t>Sort arranges data from largest to smallest (Z→A or 9→0). Steps: Select column → Go to Data → Click Sort Z to A.</t>
  </si>
  <si>
    <t>Sorting students’ marks from highest to lowest.</t>
  </si>
  <si>
    <t>Custom Sort</t>
  </si>
  <si>
    <t>Allows sorting by multiple columns or custom rules. Steps: Go to Data → Sort → Custom Sort → Select column(s) and order.</t>
  </si>
  <si>
    <t>Sorting employees first by Department, then by Salary.</t>
  </si>
  <si>
    <t>Filter</t>
  </si>
  <si>
    <t>Filter displays only rows that meet specific conditions while hiding others. Steps: Select data → Go to Data → Filter → Choose condition.</t>
  </si>
  <si>
    <t>Filtering marksheet to show only students who scored more than 80.</t>
  </si>
  <si>
    <t>Advanced Filter</t>
  </si>
  <si>
    <t>Used for more complex filtering using multiple conditions. Steps: Define criteria range → Data → Advanced Filter.</t>
  </si>
  <si>
    <t>Filtering sales report to show only “Electronics” sold in “Delhi.”</t>
  </si>
  <si>
    <t>Topic</t>
  </si>
  <si>
    <t>Explanation</t>
  </si>
  <si>
    <t>Syntax / Steps</t>
  </si>
  <si>
    <t>Find and Replace</t>
  </si>
  <si>
    <r>
      <t xml:space="preserve">The </t>
    </r>
    <r>
      <rPr>
        <b/>
        <sz val="11"/>
        <color theme="1"/>
        <rFont val="Calibri"/>
        <family val="2"/>
        <scheme val="minor"/>
      </rPr>
      <t>Find and Replace</t>
    </r>
    <r>
      <rPr>
        <sz val="11"/>
        <color theme="1"/>
        <rFont val="Calibri"/>
        <family val="2"/>
        <scheme val="minor"/>
      </rPr>
      <t xml:space="preserve"> feature in Excel is used to quickly locate specific text, numbers, or formatting in a worksheet and replace them with new values. It saves time compared to manually searching and editing.</t>
    </r>
  </si>
  <si>
    <r>
      <t>Steps:</t>
    </r>
    <r>
      <rPr>
        <sz val="11"/>
        <color theme="1"/>
        <rFont val="Calibri"/>
        <family val="2"/>
        <scheme val="minor"/>
      </rPr>
      <t xml:space="preserve"> 1. Press </t>
    </r>
    <r>
      <rPr>
        <sz val="10"/>
        <color theme="1"/>
        <rFont val="Arial Unicode MS"/>
      </rPr>
      <t>Ctrl + F</t>
    </r>
    <r>
      <rPr>
        <sz val="11"/>
        <color theme="1"/>
        <rFont val="Calibri"/>
        <family val="2"/>
        <scheme val="minor"/>
      </rPr>
      <t xml:space="preserve"> → opens </t>
    </r>
    <r>
      <rPr>
        <b/>
        <sz val="11"/>
        <color theme="1"/>
        <rFont val="Calibri"/>
        <family val="2"/>
        <scheme val="minor"/>
      </rPr>
      <t>Find</t>
    </r>
    <r>
      <rPr>
        <sz val="11"/>
        <color theme="1"/>
        <rFont val="Calibri"/>
        <family val="2"/>
        <scheme val="minor"/>
      </rPr>
      <t xml:space="preserve"> dialog box. 2. Enter the text/number you want to search. 3. Use </t>
    </r>
    <r>
      <rPr>
        <b/>
        <sz val="11"/>
        <color theme="1"/>
        <rFont val="Calibri"/>
        <family val="2"/>
        <scheme val="minor"/>
      </rPr>
      <t>Find Next</t>
    </r>
    <r>
      <rPr>
        <sz val="11"/>
        <color theme="1"/>
        <rFont val="Calibri"/>
        <family val="2"/>
        <scheme val="minor"/>
      </rPr>
      <t xml:space="preserve"> or </t>
    </r>
    <r>
      <rPr>
        <b/>
        <sz val="11"/>
        <color theme="1"/>
        <rFont val="Calibri"/>
        <family val="2"/>
        <scheme val="minor"/>
      </rPr>
      <t>Find All</t>
    </r>
    <r>
      <rPr>
        <sz val="11"/>
        <color theme="1"/>
        <rFont val="Calibri"/>
        <family val="2"/>
        <scheme val="minor"/>
      </rPr>
      <t xml:space="preserve"> to locate. </t>
    </r>
    <r>
      <rPr>
        <b/>
        <sz val="11"/>
        <color theme="1"/>
        <rFont val="Calibri"/>
        <family val="2"/>
        <scheme val="minor"/>
      </rPr>
      <t>Replace:</t>
    </r>
    <r>
      <rPr>
        <sz val="11"/>
        <color theme="1"/>
        <rFont val="Calibri"/>
        <family val="2"/>
        <scheme val="minor"/>
      </rPr>
      <t xml:space="preserve"> 1. Press </t>
    </r>
    <r>
      <rPr>
        <sz val="10"/>
        <color theme="1"/>
        <rFont val="Arial Unicode MS"/>
      </rPr>
      <t>Ctrl + H</t>
    </r>
    <r>
      <rPr>
        <sz val="11"/>
        <color theme="1"/>
        <rFont val="Calibri"/>
        <family val="2"/>
        <scheme val="minor"/>
      </rPr>
      <t xml:space="preserve"> → opens </t>
    </r>
    <r>
      <rPr>
        <b/>
        <sz val="11"/>
        <color theme="1"/>
        <rFont val="Calibri"/>
        <family val="2"/>
        <scheme val="minor"/>
      </rPr>
      <t>Replace</t>
    </r>
    <r>
      <rPr>
        <sz val="11"/>
        <color theme="1"/>
        <rFont val="Calibri"/>
        <family val="2"/>
        <scheme val="minor"/>
      </rPr>
      <t xml:space="preserve"> dialog box. 2. Enter the text/number to find. 3. Enter the replacement text/number. 4. Click </t>
    </r>
    <r>
      <rPr>
        <b/>
        <sz val="11"/>
        <color theme="1"/>
        <rFont val="Calibri"/>
        <family val="2"/>
        <scheme val="minor"/>
      </rPr>
      <t>Replace</t>
    </r>
    <r>
      <rPr>
        <sz val="11"/>
        <color theme="1"/>
        <rFont val="Calibri"/>
        <family val="2"/>
        <scheme val="minor"/>
      </rPr>
      <t xml:space="preserve"> (one by one) or </t>
    </r>
    <r>
      <rPr>
        <b/>
        <sz val="11"/>
        <color theme="1"/>
        <rFont val="Calibri"/>
        <family val="2"/>
        <scheme val="minor"/>
      </rPr>
      <t>Replace All</t>
    </r>
    <r>
      <rPr>
        <sz val="11"/>
        <color theme="1"/>
        <rFont val="Calibri"/>
        <family val="2"/>
        <scheme val="minor"/>
      </rPr>
      <t xml:space="preserve"> (all at once).</t>
    </r>
  </si>
  <si>
    <t>Feature</t>
  </si>
  <si>
    <t>Steps</t>
  </si>
  <si>
    <t>Splits text from one column into multiple columns based on a delimiter (comma, space, tab, etc.) or fixed width.</t>
  </si>
  <si>
    <r>
      <t xml:space="preserve">1. Select the column with data.2. Go to </t>
    </r>
    <r>
      <rPr>
        <b/>
        <sz val="11"/>
        <color theme="1"/>
        <rFont val="Calibri"/>
        <family val="2"/>
        <scheme val="minor"/>
      </rPr>
      <t>Data Tab → Text to Columns</t>
    </r>
    <r>
      <rPr>
        <sz val="11"/>
        <color theme="1"/>
        <rFont val="Calibri"/>
        <family val="2"/>
        <scheme val="minor"/>
      </rPr>
      <t xml:space="preserve">.3. Choose </t>
    </r>
    <r>
      <rPr>
        <b/>
        <sz val="11"/>
        <color theme="1"/>
        <rFont val="Calibri"/>
        <family val="2"/>
        <scheme val="minor"/>
      </rPr>
      <t>Delimited</t>
    </r>
    <r>
      <rPr>
        <sz val="11"/>
        <color theme="1"/>
        <rFont val="Calibri"/>
        <family val="2"/>
        <scheme val="minor"/>
      </rPr>
      <t xml:space="preserve"> (split using symbols like comma, space) or </t>
    </r>
    <r>
      <rPr>
        <b/>
        <sz val="11"/>
        <color theme="1"/>
        <rFont val="Calibri"/>
        <family val="2"/>
        <scheme val="minor"/>
      </rPr>
      <t>Fixed Width</t>
    </r>
    <r>
      <rPr>
        <sz val="11"/>
        <color theme="1"/>
        <rFont val="Calibri"/>
        <family val="2"/>
        <scheme val="minor"/>
      </rPr>
      <t xml:space="preserve"> (split at specific positions).4. Set delimiters or column breaks.5. Click </t>
    </r>
    <r>
      <rPr>
        <b/>
        <sz val="11"/>
        <color theme="1"/>
        <rFont val="Calibri"/>
        <family val="2"/>
        <scheme val="minor"/>
      </rPr>
      <t>Finish</t>
    </r>
    <r>
      <rPr>
        <sz val="11"/>
        <color theme="1"/>
        <rFont val="Calibri"/>
        <family val="2"/>
        <scheme val="minor"/>
      </rPr>
      <t xml:space="preserve"> to split data.</t>
    </r>
  </si>
  <si>
    <t>Country</t>
  </si>
  <si>
    <t>Shubham</t>
  </si>
  <si>
    <t>Jabalpur</t>
  </si>
  <si>
    <t>India</t>
  </si>
  <si>
    <t>Rohit</t>
  </si>
  <si>
    <t>Indore</t>
  </si>
  <si>
    <t>Data Validation is used to control the type of data or values that users can enter into a cell. You can restrict input to numbers, dates, lists, text length, or custom formulas.</t>
  </si>
  <si>
    <r>
      <t xml:space="preserve">1. Select the cell(s) where you want to apply validation.2. Go to </t>
    </r>
    <r>
      <rPr>
        <b/>
        <sz val="11"/>
        <color theme="1"/>
        <rFont val="Calibri"/>
        <family val="2"/>
        <scheme val="minor"/>
      </rPr>
      <t>Data Tab → Data Validation</t>
    </r>
    <r>
      <rPr>
        <sz val="11"/>
        <color theme="1"/>
        <rFont val="Calibri"/>
        <family val="2"/>
        <scheme val="minor"/>
      </rPr>
      <t xml:space="preserve">.3. Choose </t>
    </r>
    <r>
      <rPr>
        <b/>
        <sz val="11"/>
        <color theme="1"/>
        <rFont val="Calibri"/>
        <family val="2"/>
        <scheme val="minor"/>
      </rPr>
      <t>Allow</t>
    </r>
    <r>
      <rPr>
        <sz val="11"/>
        <color theme="1"/>
        <rFont val="Calibri"/>
        <family val="2"/>
        <scheme val="minor"/>
      </rPr>
      <t xml:space="preserve"> (Whole Number, Decimal, List, Date, Text Length, Custom).4. Set minimum/maximum or allowed values.5. Optionally, add </t>
    </r>
    <r>
      <rPr>
        <b/>
        <sz val="11"/>
        <color theme="1"/>
        <rFont val="Calibri"/>
        <family val="2"/>
        <scheme val="minor"/>
      </rPr>
      <t>Input Message</t>
    </r>
    <r>
      <rPr>
        <sz val="11"/>
        <color theme="1"/>
        <rFont val="Calibri"/>
        <family val="2"/>
        <scheme val="minor"/>
      </rPr>
      <t xml:space="preserve"> or </t>
    </r>
    <r>
      <rPr>
        <b/>
        <sz val="11"/>
        <color theme="1"/>
        <rFont val="Calibri"/>
        <family val="2"/>
        <scheme val="minor"/>
      </rPr>
      <t>Error Alert</t>
    </r>
    <r>
      <rPr>
        <sz val="11"/>
        <color theme="1"/>
        <rFont val="Calibri"/>
        <family val="2"/>
        <scheme val="minor"/>
      </rPr>
      <t xml:space="preserve">.6. Click </t>
    </r>
    <r>
      <rPr>
        <b/>
        <sz val="11"/>
        <color theme="1"/>
        <rFont val="Calibri"/>
        <family val="2"/>
        <scheme val="minor"/>
      </rPr>
      <t>OK</t>
    </r>
    <r>
      <rPr>
        <sz val="11"/>
        <color theme="1"/>
        <rFont val="Calibri"/>
        <family val="2"/>
        <scheme val="minor"/>
      </rPr>
      <t>.</t>
    </r>
  </si>
  <si>
    <t>This feature helps you quickly delete duplicate entries in a dataset. Excel keeps the first occurrence and removes the rest. Useful to clean data and avoid repeated values.</t>
  </si>
  <si>
    <r>
      <t xml:space="preserve">1. Select the range of cells or entire table.2. Go to </t>
    </r>
    <r>
      <rPr>
        <b/>
        <sz val="11"/>
        <color theme="1"/>
        <rFont val="Calibri"/>
        <family val="2"/>
        <scheme val="minor"/>
      </rPr>
      <t>Data Tab → Remove Duplicates</t>
    </r>
    <r>
      <rPr>
        <sz val="11"/>
        <color theme="1"/>
        <rFont val="Calibri"/>
        <family val="2"/>
        <scheme val="minor"/>
      </rPr>
      <t xml:space="preserve">.3. Choose the columns to check for duplicates.4. Click </t>
    </r>
    <r>
      <rPr>
        <b/>
        <sz val="11"/>
        <color theme="1"/>
        <rFont val="Calibri"/>
        <family val="2"/>
        <scheme val="minor"/>
      </rPr>
      <t>OK</t>
    </r>
    <r>
      <rPr>
        <sz val="11"/>
        <color theme="1"/>
        <rFont val="Calibri"/>
        <family val="2"/>
        <scheme val="minor"/>
      </rPr>
      <t>.5. Excel will remove duplicates and show how many were removed.</t>
    </r>
  </si>
  <si>
    <t>Group</t>
  </si>
  <si>
    <t>Grouping allows you to combine rows or columns so you can expand or collapse them to simplify data viewing.</t>
  </si>
  <si>
    <r>
      <t xml:space="preserve">1. Select the rows or columns to group.2. Go to </t>
    </r>
    <r>
      <rPr>
        <b/>
        <sz val="11"/>
        <color theme="1"/>
        <rFont val="Calibri"/>
        <family val="2"/>
        <scheme val="minor"/>
      </rPr>
      <t>Data Tab → Group → Group</t>
    </r>
    <r>
      <rPr>
        <sz val="11"/>
        <color theme="1"/>
        <rFont val="Calibri"/>
        <family val="2"/>
        <scheme val="minor"/>
      </rPr>
      <t xml:space="preserve">.3. A small </t>
    </r>
    <r>
      <rPr>
        <b/>
        <sz val="11"/>
        <color theme="1"/>
        <rFont val="Calibri"/>
        <family val="2"/>
        <scheme val="minor"/>
      </rPr>
      <t>minus (-)</t>
    </r>
    <r>
      <rPr>
        <sz val="11"/>
        <color theme="1"/>
        <rFont val="Calibri"/>
        <family val="2"/>
        <scheme val="minor"/>
      </rPr>
      <t xml:space="preserve"> sign appears to collapse the group.</t>
    </r>
  </si>
  <si>
    <t>Ungroup</t>
  </si>
  <si>
    <t>Ungroup reverses the grouping to restore individual rows/columns.</t>
  </si>
  <si>
    <r>
      <t xml:space="preserve">1. Select the grouped rows/columns.2. Go to </t>
    </r>
    <r>
      <rPr>
        <b/>
        <sz val="11"/>
        <color theme="1"/>
        <rFont val="Calibri"/>
        <family val="2"/>
        <scheme val="minor"/>
      </rPr>
      <t>Data Tab → Ungroup → Ungroup</t>
    </r>
    <r>
      <rPr>
        <sz val="11"/>
        <color theme="1"/>
        <rFont val="Calibri"/>
        <family val="2"/>
        <scheme val="minor"/>
      </rPr>
      <t>.3. The group is removed.</t>
    </r>
  </si>
  <si>
    <t>1. Use Find &amp; Replace to replace 'protonmail.com' with 'protonmail.com'.</t>
  </si>
  <si>
    <t>arjun@protonmail.com</t>
  </si>
  <si>
    <t>meera@protonmail.com</t>
  </si>
  <si>
    <t>reema@protonmail.com</t>
  </si>
  <si>
    <t>ravi@protonmail.com</t>
  </si>
  <si>
    <t>nisha@protonmail.com</t>
  </si>
  <si>
    <t>manish@protonmail.com</t>
  </si>
  <si>
    <t>kirti@protonmail.com</t>
  </si>
  <si>
    <t>seema@protonmail.com</t>
  </si>
  <si>
    <t>rahul@protonmail.com</t>
  </si>
  <si>
    <t>EMP</t>
  </si>
  <si>
    <t>Join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</si>
</sst>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6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vertical="center"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0" xfId="0" applyFont="1"/>
    <xf numFmtId="0" fontId="1" fillId="0" borderId="5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36">
    <dxf>
      <numFmt numFmtId="164" formatCode="[$-F800]dddd\,\ mmmm\ dd\,\ 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638908</xdr:colOff>
      <xdr:row>10</xdr:row>
      <xdr:rowOff>169986</xdr:rowOff>
    </xdr:from>
    <xdr:to>
      <xdr:col>2</xdr:col>
      <xdr:colOff>3393831</xdr:colOff>
      <xdr:row>16</xdr:row>
      <xdr:rowOff>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896DDB96-9E11-E606-1DB8-CE547DC77B25}"/>
            </a:ext>
          </a:extLst>
        </xdr:cNvPr>
        <xdr:cNvSpPr/>
      </xdr:nvSpPr>
      <xdr:spPr>
        <a:xfrm>
          <a:off x="1248508" y="3991709"/>
          <a:ext cx="3798277" cy="920260"/>
        </a:xfrm>
        <a:prstGeom prst="round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                                                                                                                                   </a:t>
          </a:r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If you have a sheet with “Manager” written in multiple cells and you want to change it to “Team Lead”: Use Ctrl + H → Find: </a:t>
          </a:r>
          <a:r>
            <a:rPr lang="en-IN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Manager</a:t>
          </a:r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, Replace with: </a:t>
          </a:r>
          <a:r>
            <a:rPr lang="en-IN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Team Lead</a:t>
          </a:r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→ Replace All.</a:t>
          </a:r>
          <a:r>
            <a:rPr lang="en-IN"/>
            <a:t> </a:t>
          </a:r>
          <a:endParaRPr lang="en-IN" sz="1100"/>
        </a:p>
      </xdr:txBody>
    </xdr:sp>
    <xdr:clientData/>
  </xdr:twoCellAnchor>
  <xdr:twoCellAnchor>
    <xdr:from>
      <xdr:col>1</xdr:col>
      <xdr:colOff>668215</xdr:colOff>
      <xdr:row>30</xdr:row>
      <xdr:rowOff>134815</xdr:rowOff>
    </xdr:from>
    <xdr:to>
      <xdr:col>2</xdr:col>
      <xdr:colOff>451338</xdr:colOff>
      <xdr:row>37</xdr:row>
      <xdr:rowOff>64477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339897E5-8F9A-792D-A70C-1BF2A6C4BDF6}"/>
            </a:ext>
          </a:extLst>
        </xdr:cNvPr>
        <xdr:cNvSpPr/>
      </xdr:nvSpPr>
      <xdr:spPr>
        <a:xfrm>
          <a:off x="1277815" y="9970477"/>
          <a:ext cx="826477" cy="1201615"/>
        </a:xfrm>
        <a:prstGeom prst="round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Shubham</a:t>
          </a:r>
        </a:p>
        <a:p>
          <a:pPr algn="l"/>
          <a:r>
            <a:rPr lang="en-IN" sz="1100"/>
            <a:t>Rohit</a:t>
          </a:r>
        </a:p>
        <a:p>
          <a:pPr algn="l"/>
          <a:r>
            <a:rPr lang="en-IN" sz="1100"/>
            <a:t>Priya</a:t>
          </a:r>
        </a:p>
        <a:p>
          <a:pPr algn="l"/>
          <a:r>
            <a:rPr lang="en-IN" sz="1100"/>
            <a:t>Shubham</a:t>
          </a:r>
        </a:p>
        <a:p>
          <a:pPr algn="l"/>
          <a:r>
            <a:rPr lang="en-IN" sz="1100"/>
            <a:t>Rohit</a:t>
          </a:r>
        </a:p>
        <a:p>
          <a:pPr algn="l"/>
          <a:r>
            <a:rPr lang="en-IN" sz="1100"/>
            <a:t>Anjali</a:t>
          </a:r>
        </a:p>
        <a:p>
          <a:pPr algn="l"/>
          <a:endParaRPr lang="en-IN" sz="1100"/>
        </a:p>
      </xdr:txBody>
    </xdr:sp>
    <xdr:clientData/>
  </xdr:twoCellAnchor>
  <xdr:twoCellAnchor>
    <xdr:from>
      <xdr:col>2</xdr:col>
      <xdr:colOff>609600</xdr:colOff>
      <xdr:row>33</xdr:row>
      <xdr:rowOff>41030</xdr:rowOff>
    </xdr:from>
    <xdr:to>
      <xdr:col>2</xdr:col>
      <xdr:colOff>1940169</xdr:colOff>
      <xdr:row>34</xdr:row>
      <xdr:rowOff>123093</xdr:rowOff>
    </xdr:to>
    <xdr:sp macro="" textlink="">
      <xdr:nvSpPr>
        <xdr:cNvPr id="6" name="Arrow: Right 5">
          <a:extLst>
            <a:ext uri="{FF2B5EF4-FFF2-40B4-BE49-F238E27FC236}">
              <a16:creationId xmlns:a16="http://schemas.microsoft.com/office/drawing/2014/main" id="{9EFA9096-C6D7-A122-7857-EDCD1EE5815D}"/>
            </a:ext>
          </a:extLst>
        </xdr:cNvPr>
        <xdr:cNvSpPr/>
      </xdr:nvSpPr>
      <xdr:spPr>
        <a:xfrm>
          <a:off x="2262554" y="10421815"/>
          <a:ext cx="1330569" cy="26377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2051539</xdr:colOff>
      <xdr:row>31</xdr:row>
      <xdr:rowOff>128954</xdr:rowOff>
    </xdr:from>
    <xdr:to>
      <xdr:col>2</xdr:col>
      <xdr:colOff>2848709</xdr:colOff>
      <xdr:row>36</xdr:row>
      <xdr:rowOff>158261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9ECF2C9C-4361-971B-E1F5-110B49FDA350}"/>
            </a:ext>
          </a:extLst>
        </xdr:cNvPr>
        <xdr:cNvSpPr/>
      </xdr:nvSpPr>
      <xdr:spPr>
        <a:xfrm>
          <a:off x="3704493" y="10146323"/>
          <a:ext cx="797170" cy="937846"/>
        </a:xfrm>
        <a:prstGeom prst="round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Shubham</a:t>
          </a:r>
        </a:p>
        <a:p>
          <a:pPr algn="l"/>
          <a:r>
            <a:rPr lang="en-IN" sz="1100"/>
            <a:t>Rohit</a:t>
          </a:r>
        </a:p>
        <a:p>
          <a:pPr algn="l"/>
          <a:r>
            <a:rPr lang="en-IN" sz="1100"/>
            <a:t>Priya</a:t>
          </a:r>
        </a:p>
        <a:p>
          <a:pPr algn="l"/>
          <a:r>
            <a:rPr lang="en-IN" sz="1100"/>
            <a:t>Anjali</a:t>
          </a:r>
        </a:p>
        <a:p>
          <a:pPr algn="l"/>
          <a:endParaRPr lang="en-IN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406D90-4F0E-489D-B649-0858B9832122}" name="Table1" displayName="Table1" ref="B2:D7" totalsRowShown="0" headerRowDxfId="35" dataDxfId="34">
  <autoFilter ref="B2:D7" xr:uid="{C7406D90-4F0E-489D-B649-0858B9832122}"/>
  <tableColumns count="3">
    <tableColumn id="1" xr3:uid="{5120ED32-8C0F-48FE-BA6F-5151D415D3D7}" name="Sub-Topic" dataDxfId="33"/>
    <tableColumn id="2" xr3:uid="{2D46B963-F7F2-4FC7-874E-D5D8A16D3A5E}" name="Explanation (with Steps/Syntax)" dataDxfId="32"/>
    <tableColumn id="3" xr3:uid="{2A2699EB-D02A-45EC-B31B-E9B45AD0EF8D}" name="Real Life Example" dataDxfId="3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E6711DF-DC06-481A-92D6-3435313A63BF}" name="Table2" displayName="Table2" ref="B9:D10" totalsRowShown="0" headerRowDxfId="30">
  <autoFilter ref="B9:D10" xr:uid="{4E6711DF-DC06-481A-92D6-3435313A63BF}"/>
  <tableColumns count="3">
    <tableColumn id="1" xr3:uid="{26F463A3-06C6-4089-A9EA-13F8591AE6D2}" name="Topic" dataDxfId="29"/>
    <tableColumn id="2" xr3:uid="{088B56CB-84AC-43E0-8E4F-31AE7B5A7E32}" name="Explanation" dataDxfId="28"/>
    <tableColumn id="3" xr3:uid="{0838BB7A-4524-4D29-85C9-075CA2202DB4}" name="Syntax / Steps" dataDxfId="2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82DB384-889D-48D3-BDFD-A13C4F68653A}" name="Table3" displayName="Table3" ref="B18:D19" totalsRowShown="0" headerRowDxfId="26">
  <autoFilter ref="B18:D19" xr:uid="{F82DB384-889D-48D3-BDFD-A13C4F68653A}"/>
  <tableColumns count="3">
    <tableColumn id="1" xr3:uid="{37320060-2556-4DCF-86FC-8919B359941C}" name="Feature" dataDxfId="25"/>
    <tableColumn id="2" xr3:uid="{B0B63029-14EB-4662-8A84-6FDCF46885B5}" name="Explanation" dataDxfId="24"/>
    <tableColumn id="3" xr3:uid="{7F918682-DCF8-4BEB-A7BA-1FE23BD384FE}" name="Steps" dataDxfId="2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90FC3C8-CB1A-4E04-829E-940486064EFC}" name="Table4" displayName="Table4" ref="B21:D24" totalsRowShown="0" headerRowDxfId="22" headerRowBorderDxfId="21" tableBorderDxfId="20" totalsRowBorderDxfId="19">
  <autoFilter ref="B21:D24" xr:uid="{190FC3C8-CB1A-4E04-829E-940486064EFC}"/>
  <tableColumns count="3">
    <tableColumn id="1" xr3:uid="{67EF1111-2702-4706-8BC5-9E69EE267D6A}" name="Name" dataDxfId="18"/>
    <tableColumn id="2" xr3:uid="{BCB749A8-5F1B-4A11-B454-E4D1527C89F4}" name="City" dataDxfId="17"/>
    <tableColumn id="3" xr3:uid="{A42DB33B-7BDD-44A6-BB94-F75B50F4D69B}" name="Country" dataDxfId="16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B3DBF2D-3201-40E3-B393-9A7498A677DB}" name="Table5" displayName="Table5" ref="B26:D27" totalsRowShown="0" headerRowDxfId="15">
  <autoFilter ref="B26:D27" xr:uid="{7B3DBF2D-3201-40E3-B393-9A7498A677DB}"/>
  <tableColumns count="3">
    <tableColumn id="1" xr3:uid="{07F72ED3-9CED-4942-B1FB-832D3A80D345}" name="Feature" dataDxfId="14"/>
    <tableColumn id="2" xr3:uid="{04346C7E-9564-4618-97C4-CC97BA6E6C1B}" name="Explanation" dataDxfId="13"/>
    <tableColumn id="3" xr3:uid="{4B6684BC-2407-4126-8FFE-23F2DC3FC368}" name="Steps" dataDxfId="1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71DD3F1-7202-4C7D-A437-095F50738F68}" name="Table6" displayName="Table6" ref="B29:D30" totalsRowShown="0" headerRowDxfId="11">
  <autoFilter ref="B29:D30" xr:uid="{371DD3F1-7202-4C7D-A437-095F50738F68}"/>
  <tableColumns count="3">
    <tableColumn id="1" xr3:uid="{C6849BD9-3D78-4DEF-91D7-557624EB17A5}" name="Feature" dataDxfId="10"/>
    <tableColumn id="2" xr3:uid="{F302F45C-D619-403B-9D87-2255F28FF2E4}" name="Explanation" dataDxfId="9"/>
    <tableColumn id="3" xr3:uid="{70972E9D-3824-4D90-9F77-BB6CF4B41058}" name="Steps" dataDxfId="8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51497D7-6547-41F9-AEA5-748F519A0263}" name="Table7" displayName="Table7" ref="B40:D42" totalsRowShown="0" headerRowDxfId="7">
  <autoFilter ref="B40:D42" xr:uid="{D51497D7-6547-41F9-AEA5-748F519A0263}"/>
  <tableColumns count="3">
    <tableColumn id="1" xr3:uid="{98C1AF41-FD2E-43FD-A3FA-192E81760331}" name="Feature" dataDxfId="6"/>
    <tableColumn id="2" xr3:uid="{C36E41EB-D016-46E8-B1B2-D4B2D9EDBCE8}" name="Explanation" dataDxfId="5"/>
    <tableColumn id="3" xr3:uid="{64DDFDA8-DA09-450B-9FB6-2F1FDC1F063C}" name="Steps" dataDxfId="4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FAE1FA2-76EB-45F0-BB3F-F60A563CCCD6}" name="Table8" displayName="Table8" ref="A1:H31" totalsRowShown="0" headerRowDxfId="3" headerRowBorderDxfId="2" tableBorderDxfId="1">
  <autoFilter ref="A1:H31" xr:uid="{5FAE1FA2-76EB-45F0-BB3F-F60A563CCCD6}"/>
  <sortState xmlns:xlrd2="http://schemas.microsoft.com/office/spreadsheetml/2017/richdata2" ref="A2:H31">
    <sortCondition ref="G2:G31"/>
  </sortState>
  <tableColumns count="8">
    <tableColumn id="1" xr3:uid="{5150776B-5AE3-49C0-9643-2C4FEDBD3891}" name="ID"/>
    <tableColumn id="2" xr3:uid="{E1AC98AB-1853-4F4D-81E8-20DF452E5132}" name="Name"/>
    <tableColumn id="3" xr3:uid="{D5D51866-E10F-454E-9BC2-42117D828A16}" name="Department"/>
    <tableColumn id="4" xr3:uid="{6D65487B-A145-47F8-80B6-6C0A5E4171BC}" name="City"/>
    <tableColumn id="5" xr3:uid="{C7D66000-45E9-48E1-825C-15A77ED7F999}" name="Email"/>
    <tableColumn id="6" xr3:uid="{7EC41E27-9D7D-46C3-98C4-ED464F9A4C1C}" name="Salary"/>
    <tableColumn id="7" xr3:uid="{5F0ECC1A-97AA-4BA0-A54F-ECF9A14D0014}" name="Joining Date" dataDxfId="0"/>
    <tableColumn id="8" xr3:uid="{E0516135-A406-4B13-BE17-0ED6E7A971C0}" name="Join Date">
      <calculatedColumnFormula>TEXT(Table8[[#This Row],[Joining Date]],"dd-mm-yyyy")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02C73-FFB3-4DCF-8E1D-8168004E3D17}">
  <sheetPr>
    <tabColor theme="3" tint="0.39997558519241921"/>
  </sheetPr>
  <dimension ref="A1:A3"/>
  <sheetViews>
    <sheetView workbookViewId="0">
      <selection activeCell="M15" sqref="M15"/>
    </sheetView>
  </sheetViews>
  <sheetFormatPr defaultRowHeight="15"/>
  <sheetData>
    <row r="1" spans="1:1" ht="23.25">
      <c r="A1" s="18" t="s">
        <v>187</v>
      </c>
    </row>
    <row r="2" spans="1:1" ht="23.25">
      <c r="A2" s="18" t="s">
        <v>188</v>
      </c>
    </row>
    <row r="3" spans="1:1" ht="23.25">
      <c r="A3" s="18" t="s">
        <v>189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BB8CC-78E4-4DA3-BB45-D035EDDB62D5}">
  <sheetPr>
    <tabColor theme="3" tint="0.39997558519241921"/>
  </sheetPr>
  <dimension ref="B2:D42"/>
  <sheetViews>
    <sheetView zoomScale="130" zoomScaleNormal="130" workbookViewId="0">
      <selection activeCell="B40" sqref="B40:D42"/>
    </sheetView>
  </sheetViews>
  <sheetFormatPr defaultRowHeight="15"/>
  <cols>
    <col min="2" max="2" width="15.28515625" bestFit="1" customWidth="1"/>
    <col min="3" max="3" width="64.7109375" customWidth="1"/>
    <col min="4" max="4" width="44.28515625" customWidth="1"/>
  </cols>
  <sheetData>
    <row r="2" spans="2:4">
      <c r="B2" s="7" t="s">
        <v>190</v>
      </c>
      <c r="C2" s="7" t="s">
        <v>191</v>
      </c>
      <c r="D2" s="7" t="s">
        <v>192</v>
      </c>
    </row>
    <row r="3" spans="2:4" ht="30">
      <c r="B3" s="6" t="s">
        <v>193</v>
      </c>
      <c r="C3" s="6" t="s">
        <v>194</v>
      </c>
      <c r="D3" s="6" t="s">
        <v>195</v>
      </c>
    </row>
    <row r="4" spans="2:4" ht="30">
      <c r="B4" s="6" t="s">
        <v>196</v>
      </c>
      <c r="C4" s="6" t="s">
        <v>197</v>
      </c>
      <c r="D4" s="6" t="s">
        <v>198</v>
      </c>
    </row>
    <row r="5" spans="2:4" ht="30">
      <c r="B5" s="6" t="s">
        <v>199</v>
      </c>
      <c r="C5" s="6" t="s">
        <v>200</v>
      </c>
      <c r="D5" s="6" t="s">
        <v>201</v>
      </c>
    </row>
    <row r="6" spans="2:4" ht="30">
      <c r="B6" s="6" t="s">
        <v>202</v>
      </c>
      <c r="C6" s="6" t="s">
        <v>203</v>
      </c>
      <c r="D6" s="6" t="s">
        <v>204</v>
      </c>
    </row>
    <row r="7" spans="2:4" ht="30">
      <c r="B7" s="6" t="s">
        <v>205</v>
      </c>
      <c r="C7" s="6" t="s">
        <v>206</v>
      </c>
      <c r="D7" s="6" t="s">
        <v>207</v>
      </c>
    </row>
    <row r="9" spans="2:4">
      <c r="B9" s="4" t="s">
        <v>208</v>
      </c>
      <c r="C9" s="4" t="s">
        <v>209</v>
      </c>
      <c r="D9" s="4" t="s">
        <v>210</v>
      </c>
    </row>
    <row r="10" spans="2:4" ht="105">
      <c r="B10" s="8" t="s">
        <v>211</v>
      </c>
      <c r="C10" s="5" t="s">
        <v>212</v>
      </c>
      <c r="D10" s="8" t="s">
        <v>213</v>
      </c>
    </row>
    <row r="17" spans="2:4">
      <c r="C17" s="4"/>
    </row>
    <row r="18" spans="2:4">
      <c r="B18" s="4" t="s">
        <v>214</v>
      </c>
      <c r="C18" s="4" t="s">
        <v>209</v>
      </c>
      <c r="D18" s="4" t="s">
        <v>215</v>
      </c>
    </row>
    <row r="19" spans="2:4" ht="90">
      <c r="B19" s="8" t="s">
        <v>154</v>
      </c>
      <c r="C19" s="5" t="s">
        <v>216</v>
      </c>
      <c r="D19" s="5" t="s">
        <v>217</v>
      </c>
    </row>
    <row r="21" spans="2:4">
      <c r="B21" s="12" t="s">
        <v>1</v>
      </c>
      <c r="C21" s="13" t="s">
        <v>3</v>
      </c>
      <c r="D21" s="14" t="s">
        <v>218</v>
      </c>
    </row>
    <row r="22" spans="2:4">
      <c r="B22" s="10" t="s">
        <v>219</v>
      </c>
      <c r="C22" s="9" t="s">
        <v>220</v>
      </c>
      <c r="D22" s="11" t="s">
        <v>221</v>
      </c>
    </row>
    <row r="23" spans="2:4">
      <c r="B23" s="10" t="s">
        <v>222</v>
      </c>
      <c r="C23" s="9" t="s">
        <v>223</v>
      </c>
      <c r="D23" s="11" t="s">
        <v>221</v>
      </c>
    </row>
    <row r="24" spans="2:4">
      <c r="B24" s="15" t="s">
        <v>48</v>
      </c>
      <c r="C24" s="16" t="s">
        <v>16</v>
      </c>
      <c r="D24" s="17" t="s">
        <v>221</v>
      </c>
    </row>
    <row r="26" spans="2:4">
      <c r="B26" s="4" t="s">
        <v>214</v>
      </c>
      <c r="C26" s="4" t="s">
        <v>209</v>
      </c>
      <c r="D26" s="4" t="s">
        <v>215</v>
      </c>
    </row>
    <row r="27" spans="2:4" ht="105">
      <c r="B27" s="8" t="s">
        <v>160</v>
      </c>
      <c r="C27" s="5" t="s">
        <v>224</v>
      </c>
      <c r="D27" s="5" t="s">
        <v>225</v>
      </c>
    </row>
    <row r="29" spans="2:4">
      <c r="B29" s="4" t="s">
        <v>214</v>
      </c>
      <c r="C29" s="4" t="s">
        <v>209</v>
      </c>
      <c r="D29" s="4" t="s">
        <v>215</v>
      </c>
    </row>
    <row r="30" spans="2:4" ht="75">
      <c r="B30" s="8" t="s">
        <v>164</v>
      </c>
      <c r="C30" s="5" t="s">
        <v>226</v>
      </c>
      <c r="D30" s="5" t="s">
        <v>227</v>
      </c>
    </row>
    <row r="40" spans="2:4">
      <c r="B40" s="4" t="s">
        <v>214</v>
      </c>
      <c r="C40" s="4" t="s">
        <v>209</v>
      </c>
      <c r="D40" s="4" t="s">
        <v>215</v>
      </c>
    </row>
    <row r="41" spans="2:4" ht="45">
      <c r="B41" s="8" t="s">
        <v>228</v>
      </c>
      <c r="C41" s="5" t="s">
        <v>229</v>
      </c>
      <c r="D41" s="5" t="s">
        <v>230</v>
      </c>
    </row>
    <row r="42" spans="2:4" ht="45">
      <c r="B42" s="8" t="s">
        <v>231</v>
      </c>
      <c r="C42" s="5" t="s">
        <v>232</v>
      </c>
      <c r="D42" s="5" t="s">
        <v>233</v>
      </c>
    </row>
  </sheetData>
  <pageMargins left="0.7" right="0.7" top="0.75" bottom="0.75" header="0.3" footer="0.3"/>
  <drawing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39997558519241921"/>
  </sheetPr>
  <dimension ref="A1:L31"/>
  <sheetViews>
    <sheetView workbookViewId="0"/>
  </sheetViews>
  <sheetFormatPr defaultRowHeight="15"/>
  <cols>
    <col min="3" max="3" width="11.140625" bestFit="1" customWidth="1"/>
    <col min="4" max="4" width="10" bestFit="1" customWidth="1"/>
    <col min="5" max="5" width="19.28515625" bestFit="1" customWidth="1"/>
    <col min="6" max="6" width="5.7109375" bestFit="1" customWidth="1"/>
    <col min="7" max="7" width="11" bestFit="1" customWidth="1"/>
  </cols>
  <sheetData>
    <row r="1" spans="1:12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L1" s="2" t="s">
        <v>176</v>
      </c>
    </row>
    <row r="2" spans="1:12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49751</v>
      </c>
      <c r="G2" t="s">
        <v>12</v>
      </c>
      <c r="L2" s="3" t="s">
        <v>177</v>
      </c>
    </row>
    <row r="3" spans="1:12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72951</v>
      </c>
      <c r="G3" t="s">
        <v>18</v>
      </c>
      <c r="L3" s="3" t="s">
        <v>178</v>
      </c>
    </row>
    <row r="4" spans="1:12">
      <c r="A4" t="s">
        <v>19</v>
      </c>
      <c r="B4" t="s">
        <v>20</v>
      </c>
      <c r="C4" t="s">
        <v>21</v>
      </c>
      <c r="D4" t="s">
        <v>22</v>
      </c>
      <c r="E4" t="s">
        <v>23</v>
      </c>
      <c r="F4">
        <v>60590</v>
      </c>
      <c r="G4" t="s">
        <v>24</v>
      </c>
      <c r="L4" s="3" t="s">
        <v>179</v>
      </c>
    </row>
    <row r="5" spans="1:12">
      <c r="A5" t="s">
        <v>25</v>
      </c>
      <c r="B5" t="s">
        <v>26</v>
      </c>
      <c r="C5" t="s">
        <v>27</v>
      </c>
      <c r="D5" t="s">
        <v>16</v>
      </c>
      <c r="E5" t="s">
        <v>28</v>
      </c>
      <c r="F5">
        <v>54600</v>
      </c>
      <c r="G5" t="s">
        <v>29</v>
      </c>
      <c r="L5" s="3" t="s">
        <v>180</v>
      </c>
    </row>
    <row r="6" spans="1:12">
      <c r="A6" t="s">
        <v>30</v>
      </c>
      <c r="B6" t="s">
        <v>31</v>
      </c>
      <c r="C6" t="s">
        <v>9</v>
      </c>
      <c r="D6" t="s">
        <v>10</v>
      </c>
      <c r="E6" t="s">
        <v>32</v>
      </c>
      <c r="F6">
        <v>50022</v>
      </c>
      <c r="G6" t="s">
        <v>33</v>
      </c>
      <c r="L6" s="3" t="s">
        <v>181</v>
      </c>
    </row>
    <row r="7" spans="1:12">
      <c r="A7" t="s">
        <v>34</v>
      </c>
      <c r="B7" t="s">
        <v>35</v>
      </c>
      <c r="C7" t="s">
        <v>15</v>
      </c>
      <c r="D7" t="s">
        <v>22</v>
      </c>
      <c r="E7" t="s">
        <v>36</v>
      </c>
      <c r="F7">
        <v>87572</v>
      </c>
      <c r="G7" t="s">
        <v>37</v>
      </c>
      <c r="L7" s="3" t="s">
        <v>182</v>
      </c>
    </row>
    <row r="8" spans="1:12">
      <c r="A8" t="s">
        <v>38</v>
      </c>
      <c r="B8" t="s">
        <v>39</v>
      </c>
      <c r="C8" t="s">
        <v>27</v>
      </c>
      <c r="D8" t="s">
        <v>22</v>
      </c>
      <c r="E8" t="s">
        <v>40</v>
      </c>
      <c r="F8">
        <v>26005</v>
      </c>
      <c r="G8" t="s">
        <v>41</v>
      </c>
      <c r="L8" s="3" t="s">
        <v>183</v>
      </c>
    </row>
    <row r="9" spans="1:12">
      <c r="A9" t="s">
        <v>42</v>
      </c>
      <c r="B9" t="s">
        <v>43</v>
      </c>
      <c r="C9" t="s">
        <v>44</v>
      </c>
      <c r="D9" t="s">
        <v>10</v>
      </c>
      <c r="E9" t="s">
        <v>45</v>
      </c>
      <c r="F9">
        <v>48840</v>
      </c>
      <c r="G9" t="s">
        <v>46</v>
      </c>
      <c r="L9" s="3" t="s">
        <v>184</v>
      </c>
    </row>
    <row r="10" spans="1:12">
      <c r="A10" t="s">
        <v>47</v>
      </c>
      <c r="B10" t="s">
        <v>48</v>
      </c>
      <c r="C10" t="s">
        <v>44</v>
      </c>
      <c r="D10" t="s">
        <v>22</v>
      </c>
      <c r="E10" t="s">
        <v>49</v>
      </c>
      <c r="F10">
        <v>53903</v>
      </c>
      <c r="G10" t="s">
        <v>50</v>
      </c>
      <c r="L10" s="3" t="s">
        <v>185</v>
      </c>
    </row>
    <row r="11" spans="1:12">
      <c r="A11" t="s">
        <v>51</v>
      </c>
      <c r="B11" t="s">
        <v>52</v>
      </c>
      <c r="C11" t="s">
        <v>27</v>
      </c>
      <c r="D11" t="s">
        <v>53</v>
      </c>
      <c r="E11" t="s">
        <v>54</v>
      </c>
      <c r="F11">
        <v>80523</v>
      </c>
      <c r="G11" t="s">
        <v>55</v>
      </c>
      <c r="L11" s="3" t="s">
        <v>186</v>
      </c>
    </row>
    <row r="12" spans="1:12">
      <c r="A12" t="s">
        <v>56</v>
      </c>
      <c r="B12" t="s">
        <v>57</v>
      </c>
      <c r="C12" t="s">
        <v>27</v>
      </c>
      <c r="D12" t="s">
        <v>16</v>
      </c>
      <c r="E12" t="s">
        <v>58</v>
      </c>
      <c r="F12">
        <v>58568</v>
      </c>
      <c r="G12" t="s">
        <v>59</v>
      </c>
    </row>
    <row r="13" spans="1:12">
      <c r="A13" t="s">
        <v>60</v>
      </c>
      <c r="B13" t="s">
        <v>61</v>
      </c>
      <c r="C13" t="s">
        <v>15</v>
      </c>
      <c r="D13" t="s">
        <v>10</v>
      </c>
      <c r="E13" t="s">
        <v>62</v>
      </c>
      <c r="F13">
        <v>67244</v>
      </c>
      <c r="G13" t="s">
        <v>63</v>
      </c>
    </row>
    <row r="14" spans="1:12">
      <c r="A14" t="s">
        <v>64</v>
      </c>
      <c r="B14" t="s">
        <v>65</v>
      </c>
      <c r="C14" t="s">
        <v>21</v>
      </c>
      <c r="D14" t="s">
        <v>10</v>
      </c>
      <c r="E14" t="s">
        <v>66</v>
      </c>
      <c r="F14">
        <v>28042</v>
      </c>
      <c r="G14" t="s">
        <v>67</v>
      </c>
    </row>
    <row r="15" spans="1:12">
      <c r="A15" t="s">
        <v>68</v>
      </c>
      <c r="B15" t="s">
        <v>69</v>
      </c>
      <c r="C15" t="s">
        <v>21</v>
      </c>
      <c r="D15" t="s">
        <v>70</v>
      </c>
      <c r="E15" t="s">
        <v>71</v>
      </c>
      <c r="F15">
        <v>73360</v>
      </c>
      <c r="G15" t="s">
        <v>72</v>
      </c>
    </row>
    <row r="16" spans="1:12">
      <c r="A16" t="s">
        <v>73</v>
      </c>
      <c r="B16" t="s">
        <v>74</v>
      </c>
      <c r="C16" t="s">
        <v>27</v>
      </c>
      <c r="D16" t="s">
        <v>70</v>
      </c>
      <c r="E16" t="s">
        <v>75</v>
      </c>
      <c r="F16">
        <v>34486</v>
      </c>
      <c r="G16" t="s">
        <v>76</v>
      </c>
    </row>
    <row r="17" spans="1:7">
      <c r="A17" t="s">
        <v>77</v>
      </c>
      <c r="B17" t="s">
        <v>78</v>
      </c>
      <c r="C17" t="s">
        <v>44</v>
      </c>
      <c r="D17" t="s">
        <v>70</v>
      </c>
      <c r="E17" t="s">
        <v>79</v>
      </c>
      <c r="F17">
        <v>25288</v>
      </c>
      <c r="G17" t="s">
        <v>80</v>
      </c>
    </row>
    <row r="18" spans="1:7">
      <c r="A18" t="s">
        <v>81</v>
      </c>
      <c r="B18" t="s">
        <v>82</v>
      </c>
      <c r="C18" t="s">
        <v>15</v>
      </c>
      <c r="D18" t="s">
        <v>83</v>
      </c>
      <c r="E18" t="s">
        <v>84</v>
      </c>
      <c r="F18">
        <v>66099</v>
      </c>
      <c r="G18" t="s">
        <v>85</v>
      </c>
    </row>
    <row r="19" spans="1:7">
      <c r="A19" t="s">
        <v>86</v>
      </c>
      <c r="B19" t="s">
        <v>87</v>
      </c>
      <c r="C19" t="s">
        <v>15</v>
      </c>
      <c r="D19" t="s">
        <v>70</v>
      </c>
      <c r="E19" t="s">
        <v>88</v>
      </c>
      <c r="F19">
        <v>70590</v>
      </c>
      <c r="G19" t="s">
        <v>89</v>
      </c>
    </row>
    <row r="20" spans="1:7">
      <c r="A20" t="s">
        <v>90</v>
      </c>
      <c r="B20" t="s">
        <v>91</v>
      </c>
      <c r="C20" t="s">
        <v>9</v>
      </c>
      <c r="D20" t="s">
        <v>83</v>
      </c>
      <c r="E20" t="s">
        <v>92</v>
      </c>
      <c r="F20">
        <v>85541</v>
      </c>
      <c r="G20" t="s">
        <v>93</v>
      </c>
    </row>
    <row r="21" spans="1:7">
      <c r="A21" t="s">
        <v>94</v>
      </c>
      <c r="B21" t="s">
        <v>95</v>
      </c>
      <c r="C21" t="s">
        <v>96</v>
      </c>
      <c r="D21" t="s">
        <v>16</v>
      </c>
      <c r="E21" t="s">
        <v>97</v>
      </c>
      <c r="F21">
        <v>46362</v>
      </c>
      <c r="G21" t="s">
        <v>98</v>
      </c>
    </row>
    <row r="22" spans="1:7">
      <c r="A22" t="s">
        <v>99</v>
      </c>
      <c r="B22" t="s">
        <v>100</v>
      </c>
      <c r="C22" t="s">
        <v>27</v>
      </c>
      <c r="D22" t="s">
        <v>83</v>
      </c>
      <c r="E22" t="s">
        <v>101</v>
      </c>
      <c r="F22">
        <v>86951</v>
      </c>
      <c r="G22" t="s">
        <v>102</v>
      </c>
    </row>
    <row r="23" spans="1:7">
      <c r="A23" t="s">
        <v>103</v>
      </c>
      <c r="B23" t="s">
        <v>104</v>
      </c>
      <c r="C23" t="s">
        <v>15</v>
      </c>
      <c r="D23" t="s">
        <v>10</v>
      </c>
      <c r="E23" t="s">
        <v>105</v>
      </c>
      <c r="F23">
        <v>81106</v>
      </c>
      <c r="G23" t="s">
        <v>106</v>
      </c>
    </row>
    <row r="24" spans="1:7">
      <c r="A24" t="s">
        <v>107</v>
      </c>
      <c r="B24" t="s">
        <v>108</v>
      </c>
      <c r="C24" t="s">
        <v>15</v>
      </c>
      <c r="D24" t="s">
        <v>70</v>
      </c>
      <c r="E24" t="s">
        <v>109</v>
      </c>
      <c r="F24">
        <v>67682</v>
      </c>
      <c r="G24" t="s">
        <v>110</v>
      </c>
    </row>
    <row r="25" spans="1:7">
      <c r="A25" t="s">
        <v>111</v>
      </c>
      <c r="B25" t="s">
        <v>112</v>
      </c>
      <c r="C25" t="s">
        <v>9</v>
      </c>
      <c r="D25" t="s">
        <v>70</v>
      </c>
      <c r="E25" t="s">
        <v>113</v>
      </c>
      <c r="F25">
        <v>75441</v>
      </c>
      <c r="G25" t="s">
        <v>114</v>
      </c>
    </row>
    <row r="26" spans="1:7">
      <c r="A26" t="s">
        <v>115</v>
      </c>
      <c r="B26" t="s">
        <v>116</v>
      </c>
      <c r="C26" t="s">
        <v>21</v>
      </c>
      <c r="D26" t="s">
        <v>70</v>
      </c>
      <c r="E26" t="s">
        <v>117</v>
      </c>
      <c r="F26">
        <v>82366</v>
      </c>
      <c r="G26" t="s">
        <v>118</v>
      </c>
    </row>
    <row r="27" spans="1:7">
      <c r="A27" t="s">
        <v>119</v>
      </c>
      <c r="B27" t="s">
        <v>120</v>
      </c>
      <c r="C27" t="s">
        <v>9</v>
      </c>
      <c r="D27" t="s">
        <v>16</v>
      </c>
      <c r="E27" t="s">
        <v>121</v>
      </c>
      <c r="F27">
        <v>48226</v>
      </c>
      <c r="G27" t="s">
        <v>122</v>
      </c>
    </row>
    <row r="28" spans="1:7">
      <c r="A28" t="s">
        <v>123</v>
      </c>
      <c r="B28" t="s">
        <v>124</v>
      </c>
      <c r="C28" t="s">
        <v>44</v>
      </c>
      <c r="D28" t="s">
        <v>83</v>
      </c>
      <c r="E28" t="s">
        <v>125</v>
      </c>
      <c r="F28">
        <v>25868</v>
      </c>
      <c r="G28" t="s">
        <v>126</v>
      </c>
    </row>
    <row r="29" spans="1:7">
      <c r="A29" t="s">
        <v>127</v>
      </c>
      <c r="B29" t="s">
        <v>128</v>
      </c>
      <c r="C29" t="s">
        <v>96</v>
      </c>
      <c r="D29" t="s">
        <v>53</v>
      </c>
      <c r="E29" t="s">
        <v>129</v>
      </c>
      <c r="F29">
        <v>77434</v>
      </c>
      <c r="G29" t="s">
        <v>130</v>
      </c>
    </row>
    <row r="30" spans="1:7">
      <c r="A30" t="s">
        <v>131</v>
      </c>
      <c r="B30" t="s">
        <v>132</v>
      </c>
      <c r="C30" t="s">
        <v>21</v>
      </c>
      <c r="D30" t="s">
        <v>22</v>
      </c>
      <c r="E30" t="s">
        <v>133</v>
      </c>
      <c r="F30">
        <v>55722</v>
      </c>
      <c r="G30" t="s">
        <v>134</v>
      </c>
    </row>
    <row r="31" spans="1:7">
      <c r="A31" t="s">
        <v>135</v>
      </c>
      <c r="B31" t="s">
        <v>136</v>
      </c>
      <c r="C31" t="s">
        <v>15</v>
      </c>
      <c r="D31" t="s">
        <v>16</v>
      </c>
      <c r="E31" t="s">
        <v>137</v>
      </c>
      <c r="F31">
        <v>35165</v>
      </c>
      <c r="G31" t="s">
        <v>138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39997558519241921"/>
  </sheetPr>
  <dimension ref="A1:N31"/>
  <sheetViews>
    <sheetView workbookViewId="0">
      <selection activeCell="G2" sqref="A2:H31"/>
    </sheetView>
  </sheetViews>
  <sheetFormatPr defaultRowHeight="15"/>
  <cols>
    <col min="3" max="3" width="13" customWidth="1"/>
    <col min="4" max="4" width="9.7109375" bestFit="1" customWidth="1"/>
    <col min="5" max="5" width="19.28515625" bestFit="1" customWidth="1"/>
    <col min="7" max="7" width="13.140625" customWidth="1"/>
    <col min="8" max="8" width="13.7109375" bestFit="1" customWidth="1"/>
    <col min="14" max="14" width="77.85546875" bestFit="1" customWidth="1"/>
  </cols>
  <sheetData>
    <row r="1" spans="1:14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245</v>
      </c>
      <c r="N1" s="1" t="s">
        <v>139</v>
      </c>
    </row>
    <row r="2" spans="1:14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49751</v>
      </c>
      <c r="G2" s="20" t="s">
        <v>12</v>
      </c>
      <c r="H2" t="str">
        <f>TEXT(Table8[[#This Row],[Joining Date]],"dd-mm-yyyy")</f>
        <v>01-01-2020</v>
      </c>
      <c r="I2" t="str">
        <f>TEXT(Table8[[#This Row],[Joining Date]],"dd-mm-yyyy")</f>
        <v>01-01-2020</v>
      </c>
      <c r="N2" t="s">
        <v>140</v>
      </c>
    </row>
    <row r="3" spans="1:14">
      <c r="A3" t="s">
        <v>73</v>
      </c>
      <c r="B3" t="s">
        <v>74</v>
      </c>
      <c r="C3" t="s">
        <v>27</v>
      </c>
      <c r="D3" t="s">
        <v>70</v>
      </c>
      <c r="E3" t="s">
        <v>75</v>
      </c>
      <c r="F3">
        <v>34486</v>
      </c>
      <c r="G3" s="20" t="s">
        <v>76</v>
      </c>
      <c r="H3" t="str">
        <f>TEXT(Table8[[#This Row],[Joining Date]],"dd-mm-yyyy")</f>
        <v>01-10-2025</v>
      </c>
      <c r="I3" t="str">
        <f>TEXT(Table8[[#This Row],[Joining Date]],"dd-mm-yyyy")</f>
        <v>01-10-2025</v>
      </c>
      <c r="N3" t="s">
        <v>141</v>
      </c>
    </row>
    <row r="4" spans="1:14">
      <c r="A4" t="s">
        <v>127</v>
      </c>
      <c r="B4" t="s">
        <v>128</v>
      </c>
      <c r="C4" t="s">
        <v>96</v>
      </c>
      <c r="D4" t="s">
        <v>53</v>
      </c>
      <c r="E4" t="s">
        <v>129</v>
      </c>
      <c r="F4">
        <v>77434</v>
      </c>
      <c r="G4" s="20" t="s">
        <v>130</v>
      </c>
      <c r="H4" t="str">
        <f>TEXT(Table8[[#This Row],[Joining Date]],"dd-mm-yyyy")</f>
        <v>02-02-2031</v>
      </c>
      <c r="I4" t="str">
        <f>TEXT(Table8[[#This Row],[Joining Date]],"dd-mm-yyyy")</f>
        <v>02-02-2031</v>
      </c>
      <c r="N4" t="s">
        <v>142</v>
      </c>
    </row>
    <row r="5" spans="1:14">
      <c r="A5" t="s">
        <v>131</v>
      </c>
      <c r="B5" t="s">
        <v>132</v>
      </c>
      <c r="C5" t="s">
        <v>21</v>
      </c>
      <c r="D5" t="s">
        <v>22</v>
      </c>
      <c r="E5" t="s">
        <v>133</v>
      </c>
      <c r="F5">
        <v>55722</v>
      </c>
      <c r="G5" s="20" t="s">
        <v>134</v>
      </c>
      <c r="H5" t="str">
        <f>TEXT(Table8[[#This Row],[Joining Date]],"dd-mm-yyyy")</f>
        <v>02-07-2031</v>
      </c>
      <c r="I5" t="str">
        <f>TEXT(Table8[[#This Row],[Joining Date]],"dd-mm-yyyy")</f>
        <v>02-07-2031</v>
      </c>
      <c r="N5" t="s">
        <v>143</v>
      </c>
    </row>
    <row r="6" spans="1:14">
      <c r="A6" t="s">
        <v>68</v>
      </c>
      <c r="B6" t="s">
        <v>69</v>
      </c>
      <c r="C6" t="s">
        <v>21</v>
      </c>
      <c r="D6" t="s">
        <v>70</v>
      </c>
      <c r="E6" t="s">
        <v>71</v>
      </c>
      <c r="F6">
        <v>73360</v>
      </c>
      <c r="G6" s="20" t="s">
        <v>72</v>
      </c>
      <c r="H6" t="str">
        <f>TEXT(Table8[[#This Row],[Joining Date]],"dd-mm-yyyy")</f>
        <v>04-05-2025</v>
      </c>
      <c r="I6" t="str">
        <f>TEXT(Table8[[#This Row],[Joining Date]],"dd-mm-yyyy")</f>
        <v>04-05-2025</v>
      </c>
      <c r="N6" t="s">
        <v>144</v>
      </c>
    </row>
    <row r="7" spans="1:14">
      <c r="A7" t="s">
        <v>123</v>
      </c>
      <c r="B7" t="s">
        <v>124</v>
      </c>
      <c r="C7" t="s">
        <v>44</v>
      </c>
      <c r="D7" t="s">
        <v>83</v>
      </c>
      <c r="E7" t="s">
        <v>125</v>
      </c>
      <c r="F7">
        <v>25868</v>
      </c>
      <c r="G7" s="20" t="s">
        <v>126</v>
      </c>
      <c r="H7" t="str">
        <f>TEXT(Table8[[#This Row],[Joining Date]],"dd-mm-yyyy")</f>
        <v>05-09-2030</v>
      </c>
      <c r="I7" t="str">
        <f>TEXT(Table8[[#This Row],[Joining Date]],"dd-mm-yyyy")</f>
        <v>05-09-2030</v>
      </c>
      <c r="N7" t="s">
        <v>145</v>
      </c>
    </row>
    <row r="8" spans="1:14">
      <c r="A8" t="s">
        <v>64</v>
      </c>
      <c r="B8" t="s">
        <v>65</v>
      </c>
      <c r="C8" t="s">
        <v>21</v>
      </c>
      <c r="D8" t="s">
        <v>10</v>
      </c>
      <c r="E8" t="s">
        <v>66</v>
      </c>
      <c r="F8">
        <v>28042</v>
      </c>
      <c r="G8" s="20" t="s">
        <v>67</v>
      </c>
      <c r="H8" t="str">
        <f>TEXT(Table8[[#This Row],[Joining Date]],"dd-mm-yyyy")</f>
        <v>05-12-2024</v>
      </c>
      <c r="I8" t="str">
        <f>TEXT(Table8[[#This Row],[Joining Date]],"dd-mm-yyyy")</f>
        <v>05-12-2024</v>
      </c>
      <c r="N8" t="s">
        <v>146</v>
      </c>
    </row>
    <row r="9" spans="1:14">
      <c r="A9" t="s">
        <v>119</v>
      </c>
      <c r="B9" t="s">
        <v>120</v>
      </c>
      <c r="C9" t="s">
        <v>9</v>
      </c>
      <c r="D9" t="s">
        <v>16</v>
      </c>
      <c r="E9" t="s">
        <v>121</v>
      </c>
      <c r="F9">
        <v>48226</v>
      </c>
      <c r="G9" s="20" t="s">
        <v>122</v>
      </c>
      <c r="H9" t="str">
        <f>TEXT(Table8[[#This Row],[Joining Date]],"dd-mm-yyyy")</f>
        <v>08-04-2030</v>
      </c>
      <c r="I9" t="str">
        <f>TEXT(Table8[[#This Row],[Joining Date]],"dd-mm-yyyy")</f>
        <v>08-04-2030</v>
      </c>
      <c r="N9" t="s">
        <v>147</v>
      </c>
    </row>
    <row r="10" spans="1:14">
      <c r="A10" t="s">
        <v>60</v>
      </c>
      <c r="B10" t="s">
        <v>61</v>
      </c>
      <c r="C10" t="s">
        <v>15</v>
      </c>
      <c r="D10" t="s">
        <v>10</v>
      </c>
      <c r="E10" t="s">
        <v>62</v>
      </c>
      <c r="F10">
        <v>67244</v>
      </c>
      <c r="G10" s="20" t="s">
        <v>63</v>
      </c>
      <c r="H10" t="str">
        <f>TEXT(Table8[[#This Row],[Joining Date]],"dd-mm-yyyy")</f>
        <v>08-07-2024</v>
      </c>
      <c r="I10" t="str">
        <f>TEXT(Table8[[#This Row],[Joining Date]],"dd-mm-yyyy")</f>
        <v>08-07-2024</v>
      </c>
      <c r="N10" t="s">
        <v>148</v>
      </c>
    </row>
    <row r="11" spans="1:14">
      <c r="A11" t="s">
        <v>56</v>
      </c>
      <c r="B11" t="s">
        <v>57</v>
      </c>
      <c r="C11" t="s">
        <v>27</v>
      </c>
      <c r="D11" t="s">
        <v>16</v>
      </c>
      <c r="E11" t="s">
        <v>58</v>
      </c>
      <c r="F11">
        <v>58568</v>
      </c>
      <c r="G11" s="20" t="s">
        <v>59</v>
      </c>
      <c r="H11" t="str">
        <f>TEXT(Table8[[#This Row],[Joining Date]],"dd-mm-yyyy")</f>
        <v>09-02-2024</v>
      </c>
      <c r="I11" t="str">
        <f>TEXT(Table8[[#This Row],[Joining Date]],"dd-mm-yyyy")</f>
        <v>09-02-2024</v>
      </c>
    </row>
    <row r="12" spans="1:14">
      <c r="A12" t="s">
        <v>115</v>
      </c>
      <c r="B12" t="s">
        <v>116</v>
      </c>
      <c r="C12" t="s">
        <v>21</v>
      </c>
      <c r="D12" t="s">
        <v>70</v>
      </c>
      <c r="E12" t="s">
        <v>117</v>
      </c>
      <c r="F12">
        <v>82366</v>
      </c>
      <c r="G12" s="20" t="s">
        <v>118</v>
      </c>
      <c r="H12" t="str">
        <f>TEXT(Table8[[#This Row],[Joining Date]],"dd-mm-yyyy")</f>
        <v>09-11-2029</v>
      </c>
      <c r="I12" t="str">
        <f>TEXT(Table8[[#This Row],[Joining Date]],"dd-mm-yyyy")</f>
        <v>09-11-2029</v>
      </c>
    </row>
    <row r="13" spans="1:14">
      <c r="A13" t="s">
        <v>111</v>
      </c>
      <c r="B13" t="s">
        <v>112</v>
      </c>
      <c r="C13" t="s">
        <v>9</v>
      </c>
      <c r="D13" t="s">
        <v>70</v>
      </c>
      <c r="E13" t="s">
        <v>113</v>
      </c>
      <c r="F13">
        <v>75441</v>
      </c>
      <c r="G13" s="20" t="s">
        <v>114</v>
      </c>
      <c r="H13" t="str">
        <f>TEXT(Table8[[#This Row],[Joining Date]],"dd-mm-yyyy")</f>
        <v>12-06-2029</v>
      </c>
      <c r="I13" t="str">
        <f>TEXT(Table8[[#This Row],[Joining Date]],"dd-mm-yyyy")</f>
        <v>12-06-2029</v>
      </c>
    </row>
    <row r="14" spans="1:14">
      <c r="A14" t="s">
        <v>51</v>
      </c>
      <c r="B14" t="s">
        <v>52</v>
      </c>
      <c r="C14" t="s">
        <v>27</v>
      </c>
      <c r="D14" t="s">
        <v>53</v>
      </c>
      <c r="E14" t="s">
        <v>54</v>
      </c>
      <c r="F14">
        <v>80523</v>
      </c>
      <c r="G14" s="20" t="s">
        <v>55</v>
      </c>
      <c r="H14" t="str">
        <f>TEXT(Table8[[#This Row],[Joining Date]],"dd-mm-yyyy")</f>
        <v>12-09-2023</v>
      </c>
      <c r="I14" t="str">
        <f>TEXT(Table8[[#This Row],[Joining Date]],"dd-mm-yyyy")</f>
        <v>12-09-2023</v>
      </c>
    </row>
    <row r="15" spans="1:14">
      <c r="A15" t="s">
        <v>107</v>
      </c>
      <c r="B15" t="s">
        <v>108</v>
      </c>
      <c r="C15" t="s">
        <v>15</v>
      </c>
      <c r="D15" t="s">
        <v>70</v>
      </c>
      <c r="E15" t="s">
        <v>109</v>
      </c>
      <c r="F15">
        <v>67682</v>
      </c>
      <c r="G15" s="20" t="s">
        <v>110</v>
      </c>
      <c r="H15" t="str">
        <f>TEXT(Table8[[#This Row],[Joining Date]],"dd-mm-yyyy")</f>
        <v>13-01-2029</v>
      </c>
      <c r="I15" t="str">
        <f>TEXT(Table8[[#This Row],[Joining Date]],"dd-mm-yyyy")</f>
        <v>13-01-2029</v>
      </c>
    </row>
    <row r="16" spans="1:14">
      <c r="A16" t="s">
        <v>47</v>
      </c>
      <c r="B16" t="s">
        <v>48</v>
      </c>
      <c r="C16" t="s">
        <v>44</v>
      </c>
      <c r="D16" t="s">
        <v>22</v>
      </c>
      <c r="E16" t="s">
        <v>49</v>
      </c>
      <c r="F16">
        <v>53903</v>
      </c>
      <c r="G16" s="20" t="s">
        <v>50</v>
      </c>
      <c r="H16" t="str">
        <f>TEXT(Table8[[#This Row],[Joining Date]],"dd-mm-yyyy")</f>
        <v>15-04-2023</v>
      </c>
      <c r="I16" t="str">
        <f>TEXT(Table8[[#This Row],[Joining Date]],"dd-mm-yyyy")</f>
        <v>15-04-2023</v>
      </c>
    </row>
    <row r="17" spans="1:9">
      <c r="A17" t="s">
        <v>103</v>
      </c>
      <c r="B17" t="s">
        <v>104</v>
      </c>
      <c r="C17" t="s">
        <v>15</v>
      </c>
      <c r="D17" t="s">
        <v>10</v>
      </c>
      <c r="E17" t="s">
        <v>105</v>
      </c>
      <c r="F17">
        <v>81106</v>
      </c>
      <c r="G17" s="20" t="s">
        <v>106</v>
      </c>
      <c r="H17" t="str">
        <f>TEXT(Table8[[#This Row],[Joining Date]],"dd-mm-yyyy")</f>
        <v>16-08-2028</v>
      </c>
      <c r="I17" t="str">
        <f>TEXT(Table8[[#This Row],[Joining Date]],"dd-mm-yyyy")</f>
        <v>16-08-2028</v>
      </c>
    </row>
    <row r="18" spans="1:9">
      <c r="A18" t="s">
        <v>42</v>
      </c>
      <c r="B18" t="s">
        <v>43</v>
      </c>
      <c r="C18" t="s">
        <v>44</v>
      </c>
      <c r="D18" t="s">
        <v>10</v>
      </c>
      <c r="E18" t="s">
        <v>45</v>
      </c>
      <c r="F18">
        <v>48840</v>
      </c>
      <c r="G18" s="20" t="s">
        <v>46</v>
      </c>
      <c r="H18" t="str">
        <f>TEXT(Table8[[#This Row],[Joining Date]],"dd-mm-yyyy")</f>
        <v>16-11-2022</v>
      </c>
      <c r="I18" t="str">
        <f>TEXT(Table8[[#This Row],[Joining Date]],"dd-mm-yyyy")</f>
        <v>16-11-2022</v>
      </c>
    </row>
    <row r="19" spans="1:9">
      <c r="A19" t="s">
        <v>99</v>
      </c>
      <c r="B19" t="s">
        <v>100</v>
      </c>
      <c r="C19" t="s">
        <v>27</v>
      </c>
      <c r="D19" t="s">
        <v>83</v>
      </c>
      <c r="E19" t="s">
        <v>101</v>
      </c>
      <c r="F19">
        <v>86951</v>
      </c>
      <c r="G19" s="20" t="s">
        <v>102</v>
      </c>
      <c r="H19" t="str">
        <f>TEXT(Table8[[#This Row],[Joining Date]],"dd-mm-yyyy")</f>
        <v>19-03-2028</v>
      </c>
      <c r="I19" t="str">
        <f>TEXT(Table8[[#This Row],[Joining Date]],"dd-mm-yyyy")</f>
        <v>19-03-2028</v>
      </c>
    </row>
    <row r="20" spans="1:9">
      <c r="A20" t="s">
        <v>38</v>
      </c>
      <c r="B20" t="s">
        <v>39</v>
      </c>
      <c r="C20" t="s">
        <v>27</v>
      </c>
      <c r="D20" t="s">
        <v>22</v>
      </c>
      <c r="E20" t="s">
        <v>40</v>
      </c>
      <c r="F20">
        <v>26005</v>
      </c>
      <c r="G20" s="20" t="s">
        <v>41</v>
      </c>
      <c r="H20" t="str">
        <f>TEXT(Table8[[#This Row],[Joining Date]],"dd-mm-yyyy")</f>
        <v>19-06-2022</v>
      </c>
      <c r="I20" t="str">
        <f>TEXT(Table8[[#This Row],[Joining Date]],"dd-mm-yyyy")</f>
        <v>19-06-2022</v>
      </c>
    </row>
    <row r="21" spans="1:9">
      <c r="A21" t="s">
        <v>34</v>
      </c>
      <c r="B21" t="s">
        <v>35</v>
      </c>
      <c r="C21" t="s">
        <v>15</v>
      </c>
      <c r="D21" t="s">
        <v>22</v>
      </c>
      <c r="E21" t="s">
        <v>36</v>
      </c>
      <c r="F21">
        <v>87572</v>
      </c>
      <c r="G21" s="20" t="s">
        <v>37</v>
      </c>
      <c r="H21" t="str">
        <f>TEXT(Table8[[#This Row],[Joining Date]],"dd-mm-yyyy")</f>
        <v>20-01-2022</v>
      </c>
      <c r="I21" t="str">
        <f>TEXT(Table8[[#This Row],[Joining Date]],"dd-mm-yyyy")</f>
        <v>20-01-2022</v>
      </c>
    </row>
    <row r="22" spans="1:9">
      <c r="A22" t="s">
        <v>94</v>
      </c>
      <c r="B22" t="s">
        <v>95</v>
      </c>
      <c r="C22" t="s">
        <v>96</v>
      </c>
      <c r="D22" t="s">
        <v>16</v>
      </c>
      <c r="E22" t="s">
        <v>97</v>
      </c>
      <c r="F22">
        <v>46362</v>
      </c>
      <c r="G22" s="20" t="s">
        <v>98</v>
      </c>
      <c r="H22" t="str">
        <f>TEXT(Table8[[#This Row],[Joining Date]],"dd-mm-yyyy")</f>
        <v>21-10-2027</v>
      </c>
      <c r="I22" t="str">
        <f>TEXT(Table8[[#This Row],[Joining Date]],"dd-mm-yyyy")</f>
        <v>21-10-2027</v>
      </c>
    </row>
    <row r="23" spans="1:9">
      <c r="A23" t="s">
        <v>30</v>
      </c>
      <c r="B23" t="s">
        <v>31</v>
      </c>
      <c r="C23" t="s">
        <v>9</v>
      </c>
      <c r="D23" t="s">
        <v>10</v>
      </c>
      <c r="E23" t="s">
        <v>32</v>
      </c>
      <c r="F23">
        <v>50022</v>
      </c>
      <c r="G23" s="20" t="s">
        <v>33</v>
      </c>
      <c r="H23" t="str">
        <f>TEXT(Table8[[#This Row],[Joining Date]],"dd-mm-yyyy")</f>
        <v>23-08-2021</v>
      </c>
      <c r="I23" t="str">
        <f>TEXT(Table8[[#This Row],[Joining Date]],"dd-mm-yyyy")</f>
        <v>23-08-2021</v>
      </c>
    </row>
    <row r="24" spans="1:9">
      <c r="A24" t="s">
        <v>90</v>
      </c>
      <c r="B24" t="s">
        <v>91</v>
      </c>
      <c r="C24" t="s">
        <v>9</v>
      </c>
      <c r="D24" t="s">
        <v>83</v>
      </c>
      <c r="E24" t="s">
        <v>92</v>
      </c>
      <c r="F24">
        <v>85541</v>
      </c>
      <c r="G24" s="20" t="s">
        <v>93</v>
      </c>
      <c r="H24" t="str">
        <f>TEXT(Table8[[#This Row],[Joining Date]],"dd-mm-yyyy")</f>
        <v>24-05-2027</v>
      </c>
      <c r="I24" t="str">
        <f>TEXT(Table8[[#This Row],[Joining Date]],"dd-mm-yyyy")</f>
        <v>24-05-2027</v>
      </c>
    </row>
    <row r="25" spans="1:9">
      <c r="A25" t="s">
        <v>86</v>
      </c>
      <c r="B25" t="s">
        <v>87</v>
      </c>
      <c r="C25" t="s">
        <v>15</v>
      </c>
      <c r="D25" t="s">
        <v>70</v>
      </c>
      <c r="E25" t="s">
        <v>88</v>
      </c>
      <c r="F25">
        <v>70590</v>
      </c>
      <c r="G25" s="20" t="s">
        <v>89</v>
      </c>
      <c r="H25" t="str">
        <f>TEXT(Table8[[#This Row],[Joining Date]],"dd-mm-yyyy")</f>
        <v>25-12-2026</v>
      </c>
      <c r="I25" t="str">
        <f>TEXT(Table8[[#This Row],[Joining Date]],"dd-mm-yyyy")</f>
        <v>25-12-2026</v>
      </c>
    </row>
    <row r="26" spans="1:9">
      <c r="A26" t="s">
        <v>25</v>
      </c>
      <c r="B26" t="s">
        <v>26</v>
      </c>
      <c r="C26" t="s">
        <v>27</v>
      </c>
      <c r="D26" t="s">
        <v>16</v>
      </c>
      <c r="E26" t="s">
        <v>28</v>
      </c>
      <c r="F26">
        <v>54600</v>
      </c>
      <c r="G26" s="20" t="s">
        <v>29</v>
      </c>
      <c r="H26" t="str">
        <f>TEXT(Table8[[#This Row],[Joining Date]],"dd-mm-yyyy")</f>
        <v>26-03-2021</v>
      </c>
      <c r="I26" t="str">
        <f>TEXT(Table8[[#This Row],[Joining Date]],"dd-mm-yyyy")</f>
        <v>26-03-2021</v>
      </c>
    </row>
    <row r="27" spans="1:9">
      <c r="A27" t="s">
        <v>19</v>
      </c>
      <c r="B27" t="s">
        <v>20</v>
      </c>
      <c r="C27" t="s">
        <v>21</v>
      </c>
      <c r="D27" t="s">
        <v>22</v>
      </c>
      <c r="E27" t="s">
        <v>23</v>
      </c>
      <c r="F27">
        <v>60590</v>
      </c>
      <c r="G27" s="20" t="s">
        <v>24</v>
      </c>
      <c r="H27" t="str">
        <f>TEXT(Table8[[#This Row],[Joining Date]],"dd-mm-yyyy")</f>
        <v>27-10-2020</v>
      </c>
      <c r="I27" t="str">
        <f>TEXT(Table8[[#This Row],[Joining Date]],"dd-mm-yyyy")</f>
        <v>27-10-2020</v>
      </c>
    </row>
    <row r="28" spans="1:9">
      <c r="A28" t="s">
        <v>77</v>
      </c>
      <c r="B28" t="s">
        <v>78</v>
      </c>
      <c r="C28" t="s">
        <v>44</v>
      </c>
      <c r="D28" t="s">
        <v>70</v>
      </c>
      <c r="E28" t="s">
        <v>79</v>
      </c>
      <c r="F28">
        <v>25288</v>
      </c>
      <c r="G28" s="20" t="s">
        <v>80</v>
      </c>
      <c r="H28" t="str">
        <f>TEXT(Table8[[#This Row],[Joining Date]],"dd-mm-yyyy")</f>
        <v>28-02-2026</v>
      </c>
      <c r="I28" t="str">
        <f>TEXT(Table8[[#This Row],[Joining Date]],"dd-mm-yyyy")</f>
        <v>28-02-2026</v>
      </c>
    </row>
    <row r="29" spans="1:9">
      <c r="A29" t="s">
        <v>81</v>
      </c>
      <c r="B29" t="s">
        <v>82</v>
      </c>
      <c r="C29" t="s">
        <v>15</v>
      </c>
      <c r="D29" t="s">
        <v>83</v>
      </c>
      <c r="E29" t="s">
        <v>84</v>
      </c>
      <c r="F29">
        <v>66099</v>
      </c>
      <c r="G29" s="20" t="s">
        <v>85</v>
      </c>
      <c r="H29" t="str">
        <f>TEXT(Table8[[#This Row],[Joining Date]],"dd-mm-yyyy")</f>
        <v>28-07-2026</v>
      </c>
      <c r="I29" t="str">
        <f>TEXT(Table8[[#This Row],[Joining Date]],"dd-mm-yyyy")</f>
        <v>28-07-2026</v>
      </c>
    </row>
    <row r="30" spans="1:9">
      <c r="A30" t="s">
        <v>135</v>
      </c>
      <c r="B30" t="s">
        <v>136</v>
      </c>
      <c r="C30" t="s">
        <v>15</v>
      </c>
      <c r="D30" t="s">
        <v>16</v>
      </c>
      <c r="E30" t="s">
        <v>137</v>
      </c>
      <c r="F30">
        <v>35165</v>
      </c>
      <c r="G30" s="20" t="s">
        <v>138</v>
      </c>
      <c r="H30" t="str">
        <f>TEXT(Table8[[#This Row],[Joining Date]],"dd-mm-yyyy")</f>
        <v>29-11-2031</v>
      </c>
      <c r="I30" t="str">
        <f>TEXT(Table8[[#This Row],[Joining Date]],"dd-mm-yyyy")</f>
        <v>29-11-2031</v>
      </c>
    </row>
    <row r="31" spans="1:9">
      <c r="A31" t="s">
        <v>13</v>
      </c>
      <c r="B31" t="s">
        <v>14</v>
      </c>
      <c r="C31" t="s">
        <v>15</v>
      </c>
      <c r="D31" t="s">
        <v>16</v>
      </c>
      <c r="E31" t="s">
        <v>17</v>
      </c>
      <c r="F31">
        <v>72951</v>
      </c>
      <c r="G31" s="20" t="s">
        <v>18</v>
      </c>
      <c r="H31" t="str">
        <f>TEXT(Table8[[#This Row],[Joining Date]],"dd-mm-yyyy")</f>
        <v>30-05-2020</v>
      </c>
      <c r="I31" t="str">
        <f>TEXT(Table8[[#This Row],[Joining Date]],"dd-mm-yyyy")</f>
        <v>30-05-2020</v>
      </c>
    </row>
  </sheetData>
  <sortState xmlns:xlrd2="http://schemas.microsoft.com/office/spreadsheetml/2017/richdata2" ref="A3:G29">
    <sortCondition ref="F3:F31"/>
  </sortState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6" tint="-0.249977111117893"/>
  </sheetPr>
  <dimension ref="A1:L31"/>
  <sheetViews>
    <sheetView workbookViewId="0">
      <selection activeCell="N16" sqref="N16"/>
    </sheetView>
  </sheetViews>
  <sheetFormatPr defaultRowHeight="15"/>
  <cols>
    <col min="5" max="5" width="20.8554687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L1" s="1" t="s">
        <v>149</v>
      </c>
    </row>
    <row r="2" spans="1:12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49751</v>
      </c>
      <c r="G2" t="s">
        <v>12</v>
      </c>
      <c r="L2" t="s">
        <v>234</v>
      </c>
    </row>
    <row r="3" spans="1:12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72951</v>
      </c>
      <c r="G3" t="s">
        <v>18</v>
      </c>
      <c r="L3" t="s">
        <v>150</v>
      </c>
    </row>
    <row r="4" spans="1:12">
      <c r="A4" t="s">
        <v>19</v>
      </c>
      <c r="B4" t="s">
        <v>20</v>
      </c>
      <c r="C4" t="s">
        <v>21</v>
      </c>
      <c r="D4" t="s">
        <v>22</v>
      </c>
      <c r="E4" t="s">
        <v>23</v>
      </c>
      <c r="F4">
        <v>60590</v>
      </c>
      <c r="G4" t="s">
        <v>24</v>
      </c>
      <c r="L4" t="s">
        <v>151</v>
      </c>
    </row>
    <row r="5" spans="1:12">
      <c r="A5" t="s">
        <v>25</v>
      </c>
      <c r="B5" t="s">
        <v>26</v>
      </c>
      <c r="C5" t="s">
        <v>27</v>
      </c>
      <c r="D5" t="s">
        <v>16</v>
      </c>
      <c r="E5" t="s">
        <v>28</v>
      </c>
      <c r="F5">
        <v>54600</v>
      </c>
      <c r="G5" t="s">
        <v>29</v>
      </c>
      <c r="L5" t="s">
        <v>152</v>
      </c>
    </row>
    <row r="6" spans="1:12">
      <c r="A6" t="s">
        <v>30</v>
      </c>
      <c r="B6" t="s">
        <v>31</v>
      </c>
      <c r="C6" t="s">
        <v>9</v>
      </c>
      <c r="D6" t="s">
        <v>10</v>
      </c>
      <c r="E6" t="s">
        <v>32</v>
      </c>
      <c r="F6">
        <v>50022</v>
      </c>
      <c r="G6" t="s">
        <v>33</v>
      </c>
      <c r="L6" t="s">
        <v>153</v>
      </c>
    </row>
    <row r="7" spans="1:12">
      <c r="A7" t="s">
        <v>34</v>
      </c>
      <c r="B7" t="s">
        <v>35</v>
      </c>
      <c r="C7" t="s">
        <v>15</v>
      </c>
      <c r="D7" t="s">
        <v>22</v>
      </c>
      <c r="E7" t="s">
        <v>235</v>
      </c>
      <c r="F7">
        <v>87572</v>
      </c>
      <c r="G7" t="s">
        <v>37</v>
      </c>
    </row>
    <row r="8" spans="1:12">
      <c r="A8" t="s">
        <v>38</v>
      </c>
      <c r="B8" t="s">
        <v>39</v>
      </c>
      <c r="C8" t="s">
        <v>27</v>
      </c>
      <c r="D8" t="s">
        <v>22</v>
      </c>
      <c r="E8" t="s">
        <v>236</v>
      </c>
      <c r="F8">
        <v>26005</v>
      </c>
      <c r="G8" t="s">
        <v>41</v>
      </c>
    </row>
    <row r="9" spans="1:12">
      <c r="A9" t="s">
        <v>42</v>
      </c>
      <c r="B9" t="s">
        <v>43</v>
      </c>
      <c r="C9" t="s">
        <v>44</v>
      </c>
      <c r="D9" t="s">
        <v>10</v>
      </c>
      <c r="E9" t="s">
        <v>45</v>
      </c>
      <c r="F9">
        <v>48840</v>
      </c>
      <c r="G9" t="s">
        <v>46</v>
      </c>
    </row>
    <row r="10" spans="1:12">
      <c r="A10" t="s">
        <v>47</v>
      </c>
      <c r="B10" t="s">
        <v>48</v>
      </c>
      <c r="C10" t="s">
        <v>44</v>
      </c>
      <c r="D10" t="s">
        <v>22</v>
      </c>
      <c r="E10" t="s">
        <v>49</v>
      </c>
      <c r="F10">
        <v>53903</v>
      </c>
      <c r="G10" t="s">
        <v>50</v>
      </c>
    </row>
    <row r="11" spans="1:12">
      <c r="A11" t="s">
        <v>51</v>
      </c>
      <c r="B11" t="s">
        <v>52</v>
      </c>
      <c r="C11" t="s">
        <v>27</v>
      </c>
      <c r="D11" t="s">
        <v>53</v>
      </c>
      <c r="E11" t="s">
        <v>54</v>
      </c>
      <c r="F11">
        <v>80523</v>
      </c>
      <c r="G11" t="s">
        <v>55</v>
      </c>
    </row>
    <row r="12" spans="1:12">
      <c r="A12" t="s">
        <v>56</v>
      </c>
      <c r="B12" t="s">
        <v>57</v>
      </c>
      <c r="C12" t="s">
        <v>27</v>
      </c>
      <c r="D12" t="s">
        <v>16</v>
      </c>
      <c r="E12" t="s">
        <v>237</v>
      </c>
      <c r="F12">
        <v>58568</v>
      </c>
      <c r="G12" t="s">
        <v>59</v>
      </c>
    </row>
    <row r="13" spans="1:12">
      <c r="A13" t="s">
        <v>60</v>
      </c>
      <c r="B13" t="s">
        <v>61</v>
      </c>
      <c r="C13" t="s">
        <v>15</v>
      </c>
      <c r="D13" t="s">
        <v>10</v>
      </c>
      <c r="E13" t="s">
        <v>238</v>
      </c>
      <c r="F13">
        <v>67244</v>
      </c>
      <c r="G13" t="s">
        <v>63</v>
      </c>
    </row>
    <row r="14" spans="1:12">
      <c r="A14" t="s">
        <v>64</v>
      </c>
      <c r="B14" t="s">
        <v>65</v>
      </c>
      <c r="C14" t="s">
        <v>21</v>
      </c>
      <c r="D14" t="s">
        <v>10</v>
      </c>
      <c r="E14" t="s">
        <v>66</v>
      </c>
      <c r="F14">
        <v>28042</v>
      </c>
      <c r="G14" t="s">
        <v>67</v>
      </c>
    </row>
    <row r="15" spans="1:12">
      <c r="A15" t="s">
        <v>68</v>
      </c>
      <c r="B15" t="s">
        <v>69</v>
      </c>
      <c r="C15" t="s">
        <v>21</v>
      </c>
      <c r="D15" t="s">
        <v>70</v>
      </c>
      <c r="E15" t="s">
        <v>71</v>
      </c>
      <c r="F15">
        <v>73360</v>
      </c>
      <c r="G15" t="s">
        <v>72</v>
      </c>
    </row>
    <row r="16" spans="1:12">
      <c r="A16" t="s">
        <v>73</v>
      </c>
      <c r="B16" t="s">
        <v>74</v>
      </c>
      <c r="C16" t="s">
        <v>27</v>
      </c>
      <c r="D16" t="s">
        <v>70</v>
      </c>
      <c r="E16" t="s">
        <v>239</v>
      </c>
      <c r="F16">
        <v>34486</v>
      </c>
      <c r="G16" t="s">
        <v>76</v>
      </c>
    </row>
    <row r="17" spans="1:7">
      <c r="A17" t="s">
        <v>77</v>
      </c>
      <c r="B17" t="s">
        <v>78</v>
      </c>
      <c r="C17" t="s">
        <v>44</v>
      </c>
      <c r="D17" t="s">
        <v>70</v>
      </c>
      <c r="E17" t="s">
        <v>79</v>
      </c>
      <c r="F17">
        <v>25288</v>
      </c>
      <c r="G17" t="s">
        <v>80</v>
      </c>
    </row>
    <row r="18" spans="1:7">
      <c r="A18" t="s">
        <v>81</v>
      </c>
      <c r="B18" t="s">
        <v>82</v>
      </c>
      <c r="C18" t="s">
        <v>15</v>
      </c>
      <c r="D18" t="s">
        <v>83</v>
      </c>
      <c r="E18" t="s">
        <v>84</v>
      </c>
      <c r="F18">
        <v>66099</v>
      </c>
      <c r="G18" t="s">
        <v>85</v>
      </c>
    </row>
    <row r="19" spans="1:7">
      <c r="A19" t="s">
        <v>86</v>
      </c>
      <c r="B19" t="s">
        <v>87</v>
      </c>
      <c r="C19" t="s">
        <v>15</v>
      </c>
      <c r="D19" t="s">
        <v>70</v>
      </c>
      <c r="E19" t="s">
        <v>88</v>
      </c>
      <c r="F19">
        <v>70590</v>
      </c>
      <c r="G19" t="s">
        <v>89</v>
      </c>
    </row>
    <row r="20" spans="1:7">
      <c r="A20" t="s">
        <v>90</v>
      </c>
      <c r="B20" t="s">
        <v>91</v>
      </c>
      <c r="C20" t="s">
        <v>9</v>
      </c>
      <c r="D20" t="s">
        <v>83</v>
      </c>
      <c r="E20" t="s">
        <v>92</v>
      </c>
      <c r="F20">
        <v>85541</v>
      </c>
      <c r="G20" t="s">
        <v>93</v>
      </c>
    </row>
    <row r="21" spans="1:7">
      <c r="A21" t="s">
        <v>94</v>
      </c>
      <c r="B21" t="s">
        <v>95</v>
      </c>
      <c r="C21" t="s">
        <v>96</v>
      </c>
      <c r="D21" t="s">
        <v>16</v>
      </c>
      <c r="E21" t="s">
        <v>240</v>
      </c>
      <c r="F21">
        <v>46362</v>
      </c>
      <c r="G21" t="s">
        <v>98</v>
      </c>
    </row>
    <row r="22" spans="1:7">
      <c r="A22" t="s">
        <v>99</v>
      </c>
      <c r="B22" t="s">
        <v>100</v>
      </c>
      <c r="C22" t="s">
        <v>27</v>
      </c>
      <c r="D22" t="s">
        <v>83</v>
      </c>
      <c r="E22" t="s">
        <v>101</v>
      </c>
      <c r="F22">
        <v>86951</v>
      </c>
      <c r="G22" t="s">
        <v>102</v>
      </c>
    </row>
    <row r="23" spans="1:7">
      <c r="A23" t="s">
        <v>103</v>
      </c>
      <c r="B23" t="s">
        <v>104</v>
      </c>
      <c r="C23" t="s">
        <v>15</v>
      </c>
      <c r="D23" t="s">
        <v>10</v>
      </c>
      <c r="E23" t="s">
        <v>105</v>
      </c>
      <c r="F23">
        <v>81106</v>
      </c>
      <c r="G23" t="s">
        <v>106</v>
      </c>
    </row>
    <row r="24" spans="1:7">
      <c r="A24" t="s">
        <v>107</v>
      </c>
      <c r="B24" t="s">
        <v>108</v>
      </c>
      <c r="C24" t="s">
        <v>15</v>
      </c>
      <c r="D24" t="s">
        <v>70</v>
      </c>
      <c r="E24" t="s">
        <v>241</v>
      </c>
      <c r="F24">
        <v>67682</v>
      </c>
      <c r="G24" t="s">
        <v>110</v>
      </c>
    </row>
    <row r="25" spans="1:7">
      <c r="A25" t="s">
        <v>111</v>
      </c>
      <c r="B25" t="s">
        <v>112</v>
      </c>
      <c r="C25" t="s">
        <v>9</v>
      </c>
      <c r="D25" t="s">
        <v>70</v>
      </c>
      <c r="E25" t="s">
        <v>113</v>
      </c>
      <c r="F25">
        <v>75441</v>
      </c>
      <c r="G25" t="s">
        <v>114</v>
      </c>
    </row>
    <row r="26" spans="1:7">
      <c r="A26" t="s">
        <v>115</v>
      </c>
      <c r="B26" t="s">
        <v>116</v>
      </c>
      <c r="C26" t="s">
        <v>21</v>
      </c>
      <c r="D26" t="s">
        <v>70</v>
      </c>
      <c r="E26" t="s">
        <v>117</v>
      </c>
      <c r="F26">
        <v>82366</v>
      </c>
      <c r="G26" t="s">
        <v>118</v>
      </c>
    </row>
    <row r="27" spans="1:7">
      <c r="A27" t="s">
        <v>119</v>
      </c>
      <c r="B27" t="s">
        <v>120</v>
      </c>
      <c r="C27" t="s">
        <v>9</v>
      </c>
      <c r="D27" t="s">
        <v>16</v>
      </c>
      <c r="E27" t="s">
        <v>121</v>
      </c>
      <c r="F27">
        <v>48226</v>
      </c>
      <c r="G27" t="s">
        <v>122</v>
      </c>
    </row>
    <row r="28" spans="1:7">
      <c r="A28" t="s">
        <v>123</v>
      </c>
      <c r="B28" t="s">
        <v>124</v>
      </c>
      <c r="C28" t="s">
        <v>44</v>
      </c>
      <c r="D28" t="s">
        <v>83</v>
      </c>
      <c r="E28" t="s">
        <v>242</v>
      </c>
      <c r="F28">
        <v>25868</v>
      </c>
      <c r="G28" t="s">
        <v>126</v>
      </c>
    </row>
    <row r="29" spans="1:7">
      <c r="A29" t="s">
        <v>127</v>
      </c>
      <c r="B29" t="s">
        <v>128</v>
      </c>
      <c r="C29" t="s">
        <v>96</v>
      </c>
      <c r="D29" t="s">
        <v>53</v>
      </c>
      <c r="E29" t="s">
        <v>129</v>
      </c>
      <c r="F29">
        <v>77434</v>
      </c>
      <c r="G29" t="s">
        <v>130</v>
      </c>
    </row>
    <row r="30" spans="1:7">
      <c r="A30" t="s">
        <v>131</v>
      </c>
      <c r="B30" t="s">
        <v>132</v>
      </c>
      <c r="C30" t="s">
        <v>21</v>
      </c>
      <c r="D30" t="s">
        <v>22</v>
      </c>
      <c r="E30" t="s">
        <v>133</v>
      </c>
      <c r="F30">
        <v>55722</v>
      </c>
      <c r="G30" t="s">
        <v>134</v>
      </c>
    </row>
    <row r="31" spans="1:7">
      <c r="A31" t="s">
        <v>135</v>
      </c>
      <c r="B31" t="s">
        <v>136</v>
      </c>
      <c r="C31" t="s">
        <v>15</v>
      </c>
      <c r="D31" t="s">
        <v>16</v>
      </c>
      <c r="E31" t="s">
        <v>243</v>
      </c>
      <c r="F31">
        <v>35165</v>
      </c>
      <c r="G31" t="s">
        <v>138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-0.249977111117893"/>
  </sheetPr>
  <dimension ref="A1:L31"/>
  <sheetViews>
    <sheetView workbookViewId="0">
      <selection sqref="A1:A31"/>
    </sheetView>
  </sheetViews>
  <sheetFormatPr defaultRowHeight="15"/>
  <cols>
    <col min="5" max="5" width="20.85546875" bestFit="1" customWidth="1"/>
    <col min="7" max="7" width="11.8554687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0</v>
      </c>
      <c r="L1" s="1" t="s">
        <v>154</v>
      </c>
    </row>
    <row r="2" spans="1:12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49751</v>
      </c>
      <c r="G2" t="s">
        <v>12</v>
      </c>
      <c r="H2" t="s">
        <v>244</v>
      </c>
      <c r="I2">
        <v>100</v>
      </c>
      <c r="L2" t="s">
        <v>155</v>
      </c>
    </row>
    <row r="3" spans="1:12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72951</v>
      </c>
      <c r="G3" t="s">
        <v>18</v>
      </c>
      <c r="H3" t="s">
        <v>244</v>
      </c>
      <c r="I3">
        <v>101</v>
      </c>
      <c r="L3" t="s">
        <v>156</v>
      </c>
    </row>
    <row r="4" spans="1:12">
      <c r="A4" t="s">
        <v>19</v>
      </c>
      <c r="B4" t="s">
        <v>20</v>
      </c>
      <c r="C4" t="s">
        <v>21</v>
      </c>
      <c r="D4" t="s">
        <v>22</v>
      </c>
      <c r="E4" t="s">
        <v>23</v>
      </c>
      <c r="F4">
        <v>60590</v>
      </c>
      <c r="G4" t="s">
        <v>24</v>
      </c>
      <c r="H4" t="s">
        <v>244</v>
      </c>
      <c r="I4">
        <v>102</v>
      </c>
      <c r="L4" t="s">
        <v>157</v>
      </c>
    </row>
    <row r="5" spans="1:12">
      <c r="A5" t="s">
        <v>25</v>
      </c>
      <c r="B5" t="s">
        <v>26</v>
      </c>
      <c r="C5" t="s">
        <v>27</v>
      </c>
      <c r="D5" t="s">
        <v>16</v>
      </c>
      <c r="E5" t="s">
        <v>28</v>
      </c>
      <c r="F5">
        <v>54600</v>
      </c>
      <c r="G5" t="s">
        <v>29</v>
      </c>
      <c r="H5" t="s">
        <v>244</v>
      </c>
      <c r="I5">
        <v>103</v>
      </c>
      <c r="L5" t="s">
        <v>158</v>
      </c>
    </row>
    <row r="6" spans="1:12">
      <c r="A6" t="s">
        <v>30</v>
      </c>
      <c r="B6" t="s">
        <v>31</v>
      </c>
      <c r="C6" t="s">
        <v>9</v>
      </c>
      <c r="D6" t="s">
        <v>10</v>
      </c>
      <c r="E6" t="s">
        <v>32</v>
      </c>
      <c r="F6">
        <v>50022</v>
      </c>
      <c r="G6" t="s">
        <v>33</v>
      </c>
      <c r="H6" t="s">
        <v>244</v>
      </c>
      <c r="I6">
        <v>104</v>
      </c>
      <c r="L6" t="s">
        <v>159</v>
      </c>
    </row>
    <row r="7" spans="1:12">
      <c r="A7" t="s">
        <v>34</v>
      </c>
      <c r="B7" t="s">
        <v>35</v>
      </c>
      <c r="C7" t="s">
        <v>15</v>
      </c>
      <c r="D7" t="s">
        <v>22</v>
      </c>
      <c r="E7" t="s">
        <v>36</v>
      </c>
      <c r="F7">
        <v>87572</v>
      </c>
      <c r="G7" t="s">
        <v>37</v>
      </c>
      <c r="H7" t="s">
        <v>244</v>
      </c>
      <c r="I7">
        <v>105</v>
      </c>
    </row>
    <row r="8" spans="1:12">
      <c r="A8" t="s">
        <v>38</v>
      </c>
      <c r="B8" t="s">
        <v>39</v>
      </c>
      <c r="C8" t="s">
        <v>27</v>
      </c>
      <c r="D8" t="s">
        <v>22</v>
      </c>
      <c r="E8" t="s">
        <v>40</v>
      </c>
      <c r="F8">
        <v>26005</v>
      </c>
      <c r="G8" t="s">
        <v>41</v>
      </c>
      <c r="H8" t="s">
        <v>244</v>
      </c>
      <c r="I8">
        <v>106</v>
      </c>
    </row>
    <row r="9" spans="1:12">
      <c r="A9" t="s">
        <v>42</v>
      </c>
      <c r="B9" t="s">
        <v>43</v>
      </c>
      <c r="C9" t="s">
        <v>44</v>
      </c>
      <c r="D9" t="s">
        <v>10</v>
      </c>
      <c r="E9" t="s">
        <v>45</v>
      </c>
      <c r="F9">
        <v>48840</v>
      </c>
      <c r="G9" t="s">
        <v>46</v>
      </c>
      <c r="H9" t="s">
        <v>244</v>
      </c>
      <c r="I9">
        <v>107</v>
      </c>
    </row>
    <row r="10" spans="1:12">
      <c r="A10" t="s">
        <v>47</v>
      </c>
      <c r="B10" t="s">
        <v>48</v>
      </c>
      <c r="C10" t="s">
        <v>44</v>
      </c>
      <c r="D10" t="s">
        <v>22</v>
      </c>
      <c r="E10" t="s">
        <v>49</v>
      </c>
      <c r="F10">
        <v>53903</v>
      </c>
      <c r="G10" t="s">
        <v>50</v>
      </c>
      <c r="H10" t="s">
        <v>244</v>
      </c>
      <c r="I10">
        <v>108</v>
      </c>
    </row>
    <row r="11" spans="1:12">
      <c r="A11" t="s">
        <v>51</v>
      </c>
      <c r="B11" t="s">
        <v>52</v>
      </c>
      <c r="C11" t="s">
        <v>27</v>
      </c>
      <c r="D11" t="s">
        <v>53</v>
      </c>
      <c r="E11" t="s">
        <v>54</v>
      </c>
      <c r="F11">
        <v>80523</v>
      </c>
      <c r="G11" t="s">
        <v>55</v>
      </c>
      <c r="H11" t="s">
        <v>244</v>
      </c>
      <c r="I11">
        <v>109</v>
      </c>
    </row>
    <row r="12" spans="1:12">
      <c r="A12" t="s">
        <v>56</v>
      </c>
      <c r="B12" t="s">
        <v>57</v>
      </c>
      <c r="C12" t="s">
        <v>27</v>
      </c>
      <c r="D12" t="s">
        <v>16</v>
      </c>
      <c r="E12" t="s">
        <v>58</v>
      </c>
      <c r="F12">
        <v>58568</v>
      </c>
      <c r="G12" t="s">
        <v>59</v>
      </c>
      <c r="H12" t="s">
        <v>244</v>
      </c>
      <c r="I12">
        <v>110</v>
      </c>
    </row>
    <row r="13" spans="1:12">
      <c r="A13" t="s">
        <v>60</v>
      </c>
      <c r="B13" t="s">
        <v>61</v>
      </c>
      <c r="C13" t="s">
        <v>15</v>
      </c>
      <c r="D13" t="s">
        <v>10</v>
      </c>
      <c r="E13" t="s">
        <v>62</v>
      </c>
      <c r="F13">
        <v>67244</v>
      </c>
      <c r="G13" t="s">
        <v>63</v>
      </c>
      <c r="H13" t="s">
        <v>244</v>
      </c>
      <c r="I13">
        <v>111</v>
      </c>
    </row>
    <row r="14" spans="1:12">
      <c r="A14" t="s">
        <v>64</v>
      </c>
      <c r="B14" t="s">
        <v>65</v>
      </c>
      <c r="C14" t="s">
        <v>21</v>
      </c>
      <c r="D14" t="s">
        <v>10</v>
      </c>
      <c r="E14" t="s">
        <v>66</v>
      </c>
      <c r="F14">
        <v>28042</v>
      </c>
      <c r="G14" t="s">
        <v>67</v>
      </c>
      <c r="H14" t="s">
        <v>244</v>
      </c>
      <c r="I14">
        <v>112</v>
      </c>
    </row>
    <row r="15" spans="1:12">
      <c r="A15" t="s">
        <v>68</v>
      </c>
      <c r="B15" t="s">
        <v>69</v>
      </c>
      <c r="C15" t="s">
        <v>21</v>
      </c>
      <c r="D15" t="s">
        <v>70</v>
      </c>
      <c r="E15" t="s">
        <v>71</v>
      </c>
      <c r="F15">
        <v>73360</v>
      </c>
      <c r="G15" t="s">
        <v>72</v>
      </c>
      <c r="H15" t="s">
        <v>244</v>
      </c>
      <c r="I15">
        <v>113</v>
      </c>
    </row>
    <row r="16" spans="1:12">
      <c r="A16" t="s">
        <v>73</v>
      </c>
      <c r="B16" t="s">
        <v>74</v>
      </c>
      <c r="C16" t="s">
        <v>27</v>
      </c>
      <c r="D16" t="s">
        <v>70</v>
      </c>
      <c r="E16" t="s">
        <v>75</v>
      </c>
      <c r="F16">
        <v>34486</v>
      </c>
      <c r="G16" t="s">
        <v>76</v>
      </c>
      <c r="H16" t="s">
        <v>244</v>
      </c>
      <c r="I16">
        <v>114</v>
      </c>
    </row>
    <row r="17" spans="1:9">
      <c r="A17" t="s">
        <v>77</v>
      </c>
      <c r="B17" t="s">
        <v>78</v>
      </c>
      <c r="C17" t="s">
        <v>44</v>
      </c>
      <c r="D17" t="s">
        <v>70</v>
      </c>
      <c r="E17" t="s">
        <v>79</v>
      </c>
      <c r="F17">
        <v>25288</v>
      </c>
      <c r="G17" t="s">
        <v>80</v>
      </c>
      <c r="H17" t="s">
        <v>244</v>
      </c>
      <c r="I17">
        <v>115</v>
      </c>
    </row>
    <row r="18" spans="1:9">
      <c r="A18" t="s">
        <v>81</v>
      </c>
      <c r="B18" t="s">
        <v>82</v>
      </c>
      <c r="C18" t="s">
        <v>15</v>
      </c>
      <c r="D18" t="s">
        <v>83</v>
      </c>
      <c r="E18" t="s">
        <v>84</v>
      </c>
      <c r="F18">
        <v>66099</v>
      </c>
      <c r="G18" t="s">
        <v>85</v>
      </c>
      <c r="H18" t="s">
        <v>244</v>
      </c>
      <c r="I18">
        <v>116</v>
      </c>
    </row>
    <row r="19" spans="1:9">
      <c r="A19" t="s">
        <v>86</v>
      </c>
      <c r="B19" t="s">
        <v>87</v>
      </c>
      <c r="C19" t="s">
        <v>15</v>
      </c>
      <c r="D19" t="s">
        <v>70</v>
      </c>
      <c r="E19" t="s">
        <v>88</v>
      </c>
      <c r="F19">
        <v>70590</v>
      </c>
      <c r="G19" t="s">
        <v>89</v>
      </c>
      <c r="H19" t="s">
        <v>244</v>
      </c>
      <c r="I19">
        <v>117</v>
      </c>
    </row>
    <row r="20" spans="1:9">
      <c r="A20" t="s">
        <v>90</v>
      </c>
      <c r="B20" t="s">
        <v>91</v>
      </c>
      <c r="C20" t="s">
        <v>9</v>
      </c>
      <c r="D20" t="s">
        <v>83</v>
      </c>
      <c r="E20" t="s">
        <v>92</v>
      </c>
      <c r="F20">
        <v>85541</v>
      </c>
      <c r="G20" t="s">
        <v>93</v>
      </c>
      <c r="H20" t="s">
        <v>244</v>
      </c>
      <c r="I20">
        <v>118</v>
      </c>
    </row>
    <row r="21" spans="1:9">
      <c r="A21" t="s">
        <v>94</v>
      </c>
      <c r="B21" t="s">
        <v>95</v>
      </c>
      <c r="C21" t="s">
        <v>96</v>
      </c>
      <c r="D21" t="s">
        <v>16</v>
      </c>
      <c r="E21" t="s">
        <v>97</v>
      </c>
      <c r="F21">
        <v>46362</v>
      </c>
      <c r="G21" t="s">
        <v>98</v>
      </c>
      <c r="H21" t="s">
        <v>244</v>
      </c>
      <c r="I21">
        <v>119</v>
      </c>
    </row>
    <row r="22" spans="1:9">
      <c r="A22" t="s">
        <v>99</v>
      </c>
      <c r="B22" t="s">
        <v>100</v>
      </c>
      <c r="C22" t="s">
        <v>27</v>
      </c>
      <c r="D22" t="s">
        <v>83</v>
      </c>
      <c r="E22" t="s">
        <v>101</v>
      </c>
      <c r="F22">
        <v>86951</v>
      </c>
      <c r="G22" t="s">
        <v>102</v>
      </c>
      <c r="H22" t="s">
        <v>244</v>
      </c>
      <c r="I22">
        <v>120</v>
      </c>
    </row>
    <row r="23" spans="1:9">
      <c r="A23" t="s">
        <v>103</v>
      </c>
      <c r="B23" t="s">
        <v>104</v>
      </c>
      <c r="C23" t="s">
        <v>15</v>
      </c>
      <c r="D23" t="s">
        <v>10</v>
      </c>
      <c r="E23" t="s">
        <v>105</v>
      </c>
      <c r="F23">
        <v>81106</v>
      </c>
      <c r="G23" t="s">
        <v>106</v>
      </c>
      <c r="H23" t="s">
        <v>244</v>
      </c>
      <c r="I23">
        <v>121</v>
      </c>
    </row>
    <row r="24" spans="1:9">
      <c r="A24" t="s">
        <v>107</v>
      </c>
      <c r="B24" t="s">
        <v>108</v>
      </c>
      <c r="C24" t="s">
        <v>15</v>
      </c>
      <c r="D24" t="s">
        <v>70</v>
      </c>
      <c r="E24" t="s">
        <v>109</v>
      </c>
      <c r="F24">
        <v>67682</v>
      </c>
      <c r="G24" t="s">
        <v>110</v>
      </c>
      <c r="H24" t="s">
        <v>244</v>
      </c>
      <c r="I24">
        <v>122</v>
      </c>
    </row>
    <row r="25" spans="1:9">
      <c r="A25" t="s">
        <v>111</v>
      </c>
      <c r="B25" t="s">
        <v>112</v>
      </c>
      <c r="C25" t="s">
        <v>9</v>
      </c>
      <c r="D25" t="s">
        <v>70</v>
      </c>
      <c r="E25" t="s">
        <v>113</v>
      </c>
      <c r="F25">
        <v>75441</v>
      </c>
      <c r="G25" t="s">
        <v>114</v>
      </c>
      <c r="H25" t="s">
        <v>244</v>
      </c>
      <c r="I25">
        <v>123</v>
      </c>
    </row>
    <row r="26" spans="1:9">
      <c r="A26" t="s">
        <v>115</v>
      </c>
      <c r="B26" t="s">
        <v>116</v>
      </c>
      <c r="C26" t="s">
        <v>21</v>
      </c>
      <c r="D26" t="s">
        <v>70</v>
      </c>
      <c r="E26" t="s">
        <v>117</v>
      </c>
      <c r="F26">
        <v>82366</v>
      </c>
      <c r="G26" t="s">
        <v>118</v>
      </c>
      <c r="H26" t="s">
        <v>244</v>
      </c>
      <c r="I26">
        <v>124</v>
      </c>
    </row>
    <row r="27" spans="1:9">
      <c r="A27" t="s">
        <v>119</v>
      </c>
      <c r="B27" t="s">
        <v>120</v>
      </c>
      <c r="C27" t="s">
        <v>9</v>
      </c>
      <c r="D27" t="s">
        <v>16</v>
      </c>
      <c r="E27" t="s">
        <v>121</v>
      </c>
      <c r="F27">
        <v>48226</v>
      </c>
      <c r="G27" t="s">
        <v>122</v>
      </c>
      <c r="H27" t="s">
        <v>244</v>
      </c>
      <c r="I27">
        <v>125</v>
      </c>
    </row>
    <row r="28" spans="1:9">
      <c r="A28" t="s">
        <v>123</v>
      </c>
      <c r="B28" t="s">
        <v>124</v>
      </c>
      <c r="C28" t="s">
        <v>44</v>
      </c>
      <c r="D28" t="s">
        <v>83</v>
      </c>
      <c r="E28" t="s">
        <v>125</v>
      </c>
      <c r="F28">
        <v>25868</v>
      </c>
      <c r="G28" t="s">
        <v>126</v>
      </c>
      <c r="H28" t="s">
        <v>244</v>
      </c>
      <c r="I28">
        <v>126</v>
      </c>
    </row>
    <row r="29" spans="1:9">
      <c r="A29" t="s">
        <v>127</v>
      </c>
      <c r="B29" t="s">
        <v>128</v>
      </c>
      <c r="C29" t="s">
        <v>96</v>
      </c>
      <c r="D29" t="s">
        <v>53</v>
      </c>
      <c r="E29" t="s">
        <v>129</v>
      </c>
      <c r="F29">
        <v>77434</v>
      </c>
      <c r="G29" t="s">
        <v>130</v>
      </c>
      <c r="H29" t="s">
        <v>244</v>
      </c>
      <c r="I29">
        <v>127</v>
      </c>
    </row>
    <row r="30" spans="1:9">
      <c r="A30" t="s">
        <v>131</v>
      </c>
      <c r="B30" t="s">
        <v>132</v>
      </c>
      <c r="C30" t="s">
        <v>21</v>
      </c>
      <c r="D30" t="s">
        <v>22</v>
      </c>
      <c r="E30" t="s">
        <v>133</v>
      </c>
      <c r="F30">
        <v>55722</v>
      </c>
      <c r="G30" t="s">
        <v>134</v>
      </c>
      <c r="H30" t="s">
        <v>244</v>
      </c>
      <c r="I30">
        <v>128</v>
      </c>
    </row>
    <row r="31" spans="1:9">
      <c r="A31" t="s">
        <v>135</v>
      </c>
      <c r="B31" t="s">
        <v>136</v>
      </c>
      <c r="C31" t="s">
        <v>15</v>
      </c>
      <c r="D31" t="s">
        <v>16</v>
      </c>
      <c r="E31" t="s">
        <v>137</v>
      </c>
      <c r="F31">
        <v>35165</v>
      </c>
      <c r="G31" t="s">
        <v>138</v>
      </c>
      <c r="H31" t="s">
        <v>244</v>
      </c>
      <c r="I31">
        <v>129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-0.249977111117893"/>
  </sheetPr>
  <dimension ref="A1:L32"/>
  <sheetViews>
    <sheetView workbookViewId="0">
      <selection activeCell="R12" sqref="R12"/>
    </sheetView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L1" s="1" t="s">
        <v>160</v>
      </c>
    </row>
    <row r="2" spans="1:12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49751</v>
      </c>
      <c r="G2" t="s">
        <v>12</v>
      </c>
      <c r="L2" t="s">
        <v>161</v>
      </c>
    </row>
    <row r="3" spans="1:12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72951</v>
      </c>
      <c r="G3" t="s">
        <v>18</v>
      </c>
      <c r="L3" t="s">
        <v>162</v>
      </c>
    </row>
    <row r="4" spans="1:12">
      <c r="A4" t="s">
        <v>19</v>
      </c>
      <c r="B4" t="s">
        <v>20</v>
      </c>
      <c r="C4" t="s">
        <v>15</v>
      </c>
      <c r="D4" t="s">
        <v>22</v>
      </c>
      <c r="E4" t="s">
        <v>23</v>
      </c>
      <c r="F4">
        <v>60590</v>
      </c>
      <c r="G4" t="s">
        <v>24</v>
      </c>
      <c r="L4" t="s">
        <v>163</v>
      </c>
    </row>
    <row r="5" spans="1:12">
      <c r="A5" t="s">
        <v>25</v>
      </c>
      <c r="B5" t="s">
        <v>26</v>
      </c>
      <c r="C5" t="s">
        <v>27</v>
      </c>
      <c r="D5" t="s">
        <v>16</v>
      </c>
      <c r="E5" t="s">
        <v>28</v>
      </c>
      <c r="F5">
        <v>54600</v>
      </c>
      <c r="G5" t="s">
        <v>29</v>
      </c>
    </row>
    <row r="6" spans="1:12">
      <c r="A6" t="s">
        <v>30</v>
      </c>
      <c r="B6" t="s">
        <v>31</v>
      </c>
      <c r="C6" t="s">
        <v>9</v>
      </c>
      <c r="D6" t="s">
        <v>10</v>
      </c>
      <c r="E6" t="s">
        <v>32</v>
      </c>
      <c r="F6">
        <v>50022</v>
      </c>
      <c r="G6" t="s">
        <v>33</v>
      </c>
      <c r="J6">
        <f>MOD(F6,5000)</f>
        <v>22</v>
      </c>
    </row>
    <row r="7" spans="1:12">
      <c r="A7" t="s">
        <v>34</v>
      </c>
      <c r="B7" t="s">
        <v>35</v>
      </c>
      <c r="C7" t="s">
        <v>15</v>
      </c>
      <c r="D7" t="s">
        <v>22</v>
      </c>
      <c r="E7" t="s">
        <v>36</v>
      </c>
      <c r="F7">
        <v>87572</v>
      </c>
      <c r="G7" t="s">
        <v>37</v>
      </c>
    </row>
    <row r="8" spans="1:12">
      <c r="A8" t="s">
        <v>38</v>
      </c>
      <c r="B8" t="s">
        <v>39</v>
      </c>
      <c r="C8" t="s">
        <v>27</v>
      </c>
      <c r="D8" t="s">
        <v>22</v>
      </c>
      <c r="E8" t="s">
        <v>40</v>
      </c>
      <c r="F8">
        <v>26005</v>
      </c>
      <c r="G8" t="s">
        <v>41</v>
      </c>
    </row>
    <row r="9" spans="1:12">
      <c r="A9" t="s">
        <v>42</v>
      </c>
      <c r="B9" t="s">
        <v>43</v>
      </c>
      <c r="C9" t="s">
        <v>27</v>
      </c>
      <c r="D9" t="s">
        <v>10</v>
      </c>
      <c r="E9" t="s">
        <v>45</v>
      </c>
      <c r="F9">
        <v>48840</v>
      </c>
      <c r="G9" t="s">
        <v>46</v>
      </c>
    </row>
    <row r="10" spans="1:12">
      <c r="A10" t="s">
        <v>47</v>
      </c>
      <c r="B10" t="s">
        <v>48</v>
      </c>
      <c r="C10" t="s">
        <v>44</v>
      </c>
      <c r="D10" t="s">
        <v>22</v>
      </c>
      <c r="E10" t="s">
        <v>49</v>
      </c>
      <c r="F10">
        <v>53903</v>
      </c>
      <c r="G10" t="s">
        <v>50</v>
      </c>
    </row>
    <row r="11" spans="1:12">
      <c r="A11" t="s">
        <v>51</v>
      </c>
      <c r="B11" t="s">
        <v>52</v>
      </c>
      <c r="C11" t="s">
        <v>27</v>
      </c>
      <c r="D11" t="s">
        <v>53</v>
      </c>
      <c r="E11" t="s">
        <v>54</v>
      </c>
      <c r="F11">
        <v>80523</v>
      </c>
      <c r="G11" t="s">
        <v>55</v>
      </c>
    </row>
    <row r="12" spans="1:12">
      <c r="A12" t="s">
        <v>56</v>
      </c>
      <c r="B12" t="s">
        <v>57</v>
      </c>
      <c r="C12" t="s">
        <v>27</v>
      </c>
      <c r="D12" t="s">
        <v>16</v>
      </c>
      <c r="E12" t="s">
        <v>58</v>
      </c>
      <c r="F12">
        <v>58568</v>
      </c>
      <c r="G12" t="s">
        <v>59</v>
      </c>
    </row>
    <row r="13" spans="1:12">
      <c r="A13" t="s">
        <v>60</v>
      </c>
      <c r="B13" t="s">
        <v>61</v>
      </c>
      <c r="C13" t="s">
        <v>15</v>
      </c>
      <c r="D13" t="s">
        <v>10</v>
      </c>
      <c r="E13" t="s">
        <v>62</v>
      </c>
      <c r="F13">
        <v>67244</v>
      </c>
      <c r="G13" t="s">
        <v>63</v>
      </c>
    </row>
    <row r="14" spans="1:12">
      <c r="A14" t="s">
        <v>64</v>
      </c>
      <c r="B14" t="s">
        <v>65</v>
      </c>
      <c r="C14" t="s">
        <v>21</v>
      </c>
      <c r="D14" t="s">
        <v>10</v>
      </c>
      <c r="E14" t="s">
        <v>66</v>
      </c>
      <c r="F14">
        <v>28042</v>
      </c>
      <c r="G14" t="s">
        <v>67</v>
      </c>
    </row>
    <row r="15" spans="1:12">
      <c r="A15" t="s">
        <v>68</v>
      </c>
      <c r="B15" t="s">
        <v>69</v>
      </c>
      <c r="C15" t="s">
        <v>21</v>
      </c>
      <c r="D15" t="s">
        <v>70</v>
      </c>
      <c r="E15" t="s">
        <v>71</v>
      </c>
      <c r="F15">
        <v>73360</v>
      </c>
      <c r="G15" t="s">
        <v>72</v>
      </c>
    </row>
    <row r="16" spans="1:12">
      <c r="A16" t="s">
        <v>73</v>
      </c>
      <c r="B16" t="s">
        <v>74</v>
      </c>
      <c r="C16" t="s">
        <v>27</v>
      </c>
      <c r="D16" t="s">
        <v>70</v>
      </c>
      <c r="E16" t="s">
        <v>75</v>
      </c>
      <c r="F16">
        <v>34486</v>
      </c>
      <c r="G16" t="s">
        <v>76</v>
      </c>
      <c r="K16">
        <f>MOD(5,2)</f>
        <v>1</v>
      </c>
    </row>
    <row r="17" spans="1:7">
      <c r="A17" t="s">
        <v>77</v>
      </c>
      <c r="B17" t="s">
        <v>78</v>
      </c>
      <c r="C17" t="s">
        <v>44</v>
      </c>
      <c r="D17" t="s">
        <v>70</v>
      </c>
      <c r="E17" t="s">
        <v>79</v>
      </c>
      <c r="F17">
        <v>25288</v>
      </c>
      <c r="G17" t="s">
        <v>80</v>
      </c>
    </row>
    <row r="18" spans="1:7">
      <c r="A18" t="s">
        <v>81</v>
      </c>
      <c r="B18" t="s">
        <v>82</v>
      </c>
      <c r="C18" t="s">
        <v>15</v>
      </c>
      <c r="D18" t="s">
        <v>83</v>
      </c>
      <c r="E18" t="s">
        <v>84</v>
      </c>
      <c r="F18">
        <v>66099</v>
      </c>
      <c r="G18" t="s">
        <v>85</v>
      </c>
    </row>
    <row r="19" spans="1:7">
      <c r="A19" t="s">
        <v>86</v>
      </c>
      <c r="B19" t="s">
        <v>87</v>
      </c>
      <c r="C19" t="s">
        <v>15</v>
      </c>
      <c r="D19" t="s">
        <v>70</v>
      </c>
      <c r="E19" t="s">
        <v>88</v>
      </c>
      <c r="F19">
        <v>70590</v>
      </c>
      <c r="G19" t="s">
        <v>89</v>
      </c>
    </row>
    <row r="20" spans="1:7">
      <c r="A20" t="s">
        <v>90</v>
      </c>
      <c r="B20" t="s">
        <v>91</v>
      </c>
      <c r="C20" t="s">
        <v>9</v>
      </c>
      <c r="D20" t="s">
        <v>83</v>
      </c>
      <c r="E20" t="s">
        <v>92</v>
      </c>
      <c r="F20">
        <v>85541</v>
      </c>
      <c r="G20" t="s">
        <v>93</v>
      </c>
    </row>
    <row r="21" spans="1:7">
      <c r="A21" t="s">
        <v>94</v>
      </c>
      <c r="B21" t="s">
        <v>95</v>
      </c>
      <c r="C21" t="s">
        <v>96</v>
      </c>
      <c r="D21" t="s">
        <v>16</v>
      </c>
      <c r="E21" t="s">
        <v>97</v>
      </c>
      <c r="F21">
        <v>46362</v>
      </c>
      <c r="G21" t="s">
        <v>98</v>
      </c>
    </row>
    <row r="22" spans="1:7">
      <c r="A22" t="s">
        <v>99</v>
      </c>
      <c r="B22" t="s">
        <v>100</v>
      </c>
      <c r="C22" t="s">
        <v>27</v>
      </c>
      <c r="D22" t="s">
        <v>83</v>
      </c>
      <c r="E22" t="s">
        <v>101</v>
      </c>
      <c r="F22">
        <v>86951</v>
      </c>
      <c r="G22" t="s">
        <v>102</v>
      </c>
    </row>
    <row r="23" spans="1:7">
      <c r="A23" t="s">
        <v>103</v>
      </c>
      <c r="B23" t="s">
        <v>104</v>
      </c>
      <c r="C23" t="s">
        <v>15</v>
      </c>
      <c r="D23" t="s">
        <v>10</v>
      </c>
      <c r="E23" t="s">
        <v>105</v>
      </c>
      <c r="F23">
        <v>81106</v>
      </c>
      <c r="G23" t="s">
        <v>106</v>
      </c>
    </row>
    <row r="24" spans="1:7">
      <c r="A24" t="s">
        <v>107</v>
      </c>
      <c r="B24" t="s">
        <v>108</v>
      </c>
      <c r="C24" t="s">
        <v>15</v>
      </c>
      <c r="D24" t="s">
        <v>70</v>
      </c>
      <c r="E24" t="s">
        <v>109</v>
      </c>
      <c r="F24">
        <v>67682</v>
      </c>
      <c r="G24" t="s">
        <v>110</v>
      </c>
    </row>
    <row r="25" spans="1:7">
      <c r="A25" t="s">
        <v>111</v>
      </c>
      <c r="B25" t="s">
        <v>112</v>
      </c>
      <c r="C25" t="s">
        <v>9</v>
      </c>
      <c r="D25" t="s">
        <v>70</v>
      </c>
      <c r="E25" t="s">
        <v>113</v>
      </c>
      <c r="F25">
        <v>75441</v>
      </c>
      <c r="G25" t="s">
        <v>114</v>
      </c>
    </row>
    <row r="26" spans="1:7">
      <c r="A26" t="s">
        <v>115</v>
      </c>
      <c r="B26" t="s">
        <v>116</v>
      </c>
      <c r="C26" t="s">
        <v>21</v>
      </c>
      <c r="D26" t="s">
        <v>70</v>
      </c>
      <c r="E26" t="s">
        <v>117</v>
      </c>
      <c r="F26">
        <v>82366</v>
      </c>
      <c r="G26" t="s">
        <v>118</v>
      </c>
    </row>
    <row r="27" spans="1:7">
      <c r="A27" t="s">
        <v>119</v>
      </c>
      <c r="B27" t="s">
        <v>120</v>
      </c>
      <c r="C27" t="s">
        <v>9</v>
      </c>
      <c r="D27" t="s">
        <v>16</v>
      </c>
      <c r="E27" t="s">
        <v>121</v>
      </c>
      <c r="F27">
        <v>48226</v>
      </c>
      <c r="G27" t="s">
        <v>122</v>
      </c>
    </row>
    <row r="28" spans="1:7">
      <c r="A28" t="s">
        <v>123</v>
      </c>
      <c r="B28" t="s">
        <v>124</v>
      </c>
      <c r="C28" t="s">
        <v>44</v>
      </c>
      <c r="D28" t="s">
        <v>83</v>
      </c>
      <c r="E28" t="s">
        <v>125</v>
      </c>
      <c r="F28">
        <v>25868</v>
      </c>
      <c r="G28" t="s">
        <v>126</v>
      </c>
    </row>
    <row r="29" spans="1:7">
      <c r="A29" t="s">
        <v>127</v>
      </c>
      <c r="B29" t="s">
        <v>128</v>
      </c>
      <c r="C29" t="s">
        <v>96</v>
      </c>
      <c r="D29" t="s">
        <v>53</v>
      </c>
      <c r="E29" t="s">
        <v>129</v>
      </c>
      <c r="F29">
        <v>77434</v>
      </c>
      <c r="G29" t="s">
        <v>130</v>
      </c>
    </row>
    <row r="30" spans="1:7">
      <c r="A30" t="s">
        <v>131</v>
      </c>
      <c r="B30" t="s">
        <v>132</v>
      </c>
      <c r="C30" t="s">
        <v>21</v>
      </c>
      <c r="D30" t="s">
        <v>22</v>
      </c>
      <c r="E30" t="s">
        <v>133</v>
      </c>
      <c r="F30">
        <v>55722</v>
      </c>
      <c r="G30" t="s">
        <v>134</v>
      </c>
    </row>
    <row r="31" spans="1:7">
      <c r="A31" t="s">
        <v>135</v>
      </c>
      <c r="B31" t="s">
        <v>136</v>
      </c>
      <c r="C31" t="s">
        <v>15</v>
      </c>
      <c r="D31" t="s">
        <v>16</v>
      </c>
      <c r="E31" t="s">
        <v>137</v>
      </c>
      <c r="F31">
        <v>35165</v>
      </c>
      <c r="G31" t="s">
        <v>138</v>
      </c>
    </row>
    <row r="32" spans="1:7">
      <c r="A32" t="s">
        <v>135</v>
      </c>
      <c r="B32" t="s">
        <v>136</v>
      </c>
      <c r="C32" t="s">
        <v>15</v>
      </c>
      <c r="D32" t="s">
        <v>16</v>
      </c>
      <c r="E32" t="s">
        <v>137</v>
      </c>
      <c r="F32">
        <v>35165</v>
      </c>
      <c r="G32" t="s">
        <v>138</v>
      </c>
    </row>
  </sheetData>
  <dataValidations count="2">
    <dataValidation type="custom" allowBlank="1" showInputMessage="1" showErrorMessage="1" sqref="M17" xr:uid="{53256C2A-0B58-4C6B-BF97-74FC96DBA0BF}">
      <formula1>"mod(F2:F32,2)=0"</formula1>
    </dataValidation>
    <dataValidation type="custom" allowBlank="1" showInputMessage="1" showErrorMessage="1" sqref="F1 F2:F32" xr:uid="{AE7EB0CE-3C38-4058-978D-F867FCDB1DCA}">
      <formula1>"mod(F2,2)=0"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 tint="-0.249977111117893"/>
  </sheetPr>
  <dimension ref="A1:K31"/>
  <sheetViews>
    <sheetView workbookViewId="0">
      <selection sqref="A1:G31"/>
    </sheetView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K1" s="1" t="s">
        <v>164</v>
      </c>
    </row>
    <row r="2" spans="1:11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49751</v>
      </c>
      <c r="G2" t="s">
        <v>12</v>
      </c>
      <c r="K2" t="s">
        <v>165</v>
      </c>
    </row>
    <row r="3" spans="1:11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72951</v>
      </c>
      <c r="G3" t="s">
        <v>18</v>
      </c>
      <c r="K3" t="s">
        <v>166</v>
      </c>
    </row>
    <row r="4" spans="1:11">
      <c r="A4" t="s">
        <v>19</v>
      </c>
      <c r="B4" t="s">
        <v>20</v>
      </c>
      <c r="C4" t="s">
        <v>21</v>
      </c>
      <c r="D4" t="s">
        <v>22</v>
      </c>
      <c r="E4" t="s">
        <v>23</v>
      </c>
      <c r="F4">
        <v>60590</v>
      </c>
      <c r="G4" t="s">
        <v>24</v>
      </c>
      <c r="K4" t="s">
        <v>167</v>
      </c>
    </row>
    <row r="5" spans="1:11">
      <c r="A5" t="s">
        <v>25</v>
      </c>
      <c r="B5" t="s">
        <v>26</v>
      </c>
      <c r="C5" t="s">
        <v>27</v>
      </c>
      <c r="D5" t="s">
        <v>16</v>
      </c>
      <c r="E5" t="s">
        <v>28</v>
      </c>
      <c r="F5">
        <v>54600</v>
      </c>
      <c r="G5" t="s">
        <v>29</v>
      </c>
      <c r="K5" t="s">
        <v>168</v>
      </c>
    </row>
    <row r="6" spans="1:11">
      <c r="A6" t="s">
        <v>30</v>
      </c>
      <c r="B6" t="s">
        <v>31</v>
      </c>
      <c r="C6" t="s">
        <v>9</v>
      </c>
      <c r="D6" t="s">
        <v>10</v>
      </c>
      <c r="E6" t="s">
        <v>32</v>
      </c>
      <c r="F6">
        <v>50022</v>
      </c>
      <c r="G6" t="s">
        <v>33</v>
      </c>
      <c r="K6" t="s">
        <v>169</v>
      </c>
    </row>
    <row r="7" spans="1:11">
      <c r="A7" t="s">
        <v>34</v>
      </c>
      <c r="B7" t="s">
        <v>35</v>
      </c>
      <c r="C7" t="s">
        <v>15</v>
      </c>
      <c r="D7" t="s">
        <v>22</v>
      </c>
      <c r="E7" t="s">
        <v>36</v>
      </c>
      <c r="F7">
        <v>87572</v>
      </c>
      <c r="G7" t="s">
        <v>37</v>
      </c>
    </row>
    <row r="8" spans="1:11">
      <c r="A8" t="s">
        <v>38</v>
      </c>
      <c r="B8" t="s">
        <v>39</v>
      </c>
      <c r="C8" t="s">
        <v>27</v>
      </c>
      <c r="D8" t="s">
        <v>22</v>
      </c>
      <c r="E8" t="s">
        <v>40</v>
      </c>
      <c r="F8">
        <v>26005</v>
      </c>
      <c r="G8" t="s">
        <v>41</v>
      </c>
    </row>
    <row r="9" spans="1:11">
      <c r="A9" t="s">
        <v>42</v>
      </c>
      <c r="B9" t="s">
        <v>43</v>
      </c>
      <c r="C9" t="s">
        <v>44</v>
      </c>
      <c r="D9" t="s">
        <v>10</v>
      </c>
      <c r="E9" t="s">
        <v>45</v>
      </c>
      <c r="F9">
        <v>48840</v>
      </c>
      <c r="G9" t="s">
        <v>46</v>
      </c>
    </row>
    <row r="10" spans="1:11">
      <c r="A10" t="s">
        <v>47</v>
      </c>
      <c r="B10" t="s">
        <v>48</v>
      </c>
      <c r="C10" t="s">
        <v>44</v>
      </c>
      <c r="D10" t="s">
        <v>22</v>
      </c>
      <c r="E10" t="s">
        <v>49</v>
      </c>
      <c r="F10">
        <v>53903</v>
      </c>
      <c r="G10" t="s">
        <v>50</v>
      </c>
    </row>
    <row r="11" spans="1:11">
      <c r="A11" t="s">
        <v>51</v>
      </c>
      <c r="B11" t="s">
        <v>52</v>
      </c>
      <c r="C11" t="s">
        <v>27</v>
      </c>
      <c r="D11" t="s">
        <v>53</v>
      </c>
      <c r="E11" t="s">
        <v>54</v>
      </c>
      <c r="F11">
        <v>80523</v>
      </c>
      <c r="G11" t="s">
        <v>55</v>
      </c>
    </row>
    <row r="12" spans="1:11">
      <c r="A12" t="s">
        <v>56</v>
      </c>
      <c r="B12" t="s">
        <v>57</v>
      </c>
      <c r="C12" t="s">
        <v>27</v>
      </c>
      <c r="D12" t="s">
        <v>16</v>
      </c>
      <c r="E12" t="s">
        <v>58</v>
      </c>
      <c r="F12">
        <v>58568</v>
      </c>
      <c r="G12" t="s">
        <v>59</v>
      </c>
    </row>
    <row r="13" spans="1:11">
      <c r="A13" t="s">
        <v>60</v>
      </c>
      <c r="B13" t="s">
        <v>61</v>
      </c>
      <c r="C13" t="s">
        <v>15</v>
      </c>
      <c r="D13" t="s">
        <v>10</v>
      </c>
      <c r="E13" t="s">
        <v>62</v>
      </c>
      <c r="F13">
        <v>67244</v>
      </c>
      <c r="G13" t="s">
        <v>63</v>
      </c>
    </row>
    <row r="14" spans="1:11">
      <c r="A14" t="s">
        <v>64</v>
      </c>
      <c r="B14" t="s">
        <v>65</v>
      </c>
      <c r="C14" t="s">
        <v>21</v>
      </c>
      <c r="D14" t="s">
        <v>10</v>
      </c>
      <c r="E14" t="s">
        <v>66</v>
      </c>
      <c r="F14">
        <v>28042</v>
      </c>
      <c r="G14" t="s">
        <v>67</v>
      </c>
    </row>
    <row r="15" spans="1:11">
      <c r="A15" t="s">
        <v>68</v>
      </c>
      <c r="B15" t="s">
        <v>69</v>
      </c>
      <c r="C15" t="s">
        <v>21</v>
      </c>
      <c r="D15" t="s">
        <v>70</v>
      </c>
      <c r="E15" t="s">
        <v>71</v>
      </c>
      <c r="F15">
        <v>73360</v>
      </c>
      <c r="G15" t="s">
        <v>72</v>
      </c>
    </row>
    <row r="16" spans="1:11">
      <c r="A16" t="s">
        <v>73</v>
      </c>
      <c r="B16" t="s">
        <v>74</v>
      </c>
      <c r="C16" t="s">
        <v>27</v>
      </c>
      <c r="D16" t="s">
        <v>70</v>
      </c>
      <c r="E16" t="s">
        <v>75</v>
      </c>
      <c r="F16">
        <v>34486</v>
      </c>
      <c r="G16" t="s">
        <v>76</v>
      </c>
    </row>
    <row r="17" spans="1:7">
      <c r="A17" t="s">
        <v>77</v>
      </c>
      <c r="B17" t="s">
        <v>78</v>
      </c>
      <c r="C17" t="s">
        <v>44</v>
      </c>
      <c r="D17" t="s">
        <v>70</v>
      </c>
      <c r="E17" t="s">
        <v>79</v>
      </c>
      <c r="F17">
        <v>25288</v>
      </c>
      <c r="G17" t="s">
        <v>80</v>
      </c>
    </row>
    <row r="18" spans="1:7">
      <c r="A18" t="s">
        <v>81</v>
      </c>
      <c r="B18" t="s">
        <v>82</v>
      </c>
      <c r="C18" t="s">
        <v>15</v>
      </c>
      <c r="D18" t="s">
        <v>83</v>
      </c>
      <c r="E18" t="s">
        <v>84</v>
      </c>
      <c r="F18">
        <v>66099</v>
      </c>
      <c r="G18" t="s">
        <v>85</v>
      </c>
    </row>
    <row r="19" spans="1:7">
      <c r="A19" t="s">
        <v>86</v>
      </c>
      <c r="B19" t="s">
        <v>87</v>
      </c>
      <c r="C19" t="s">
        <v>15</v>
      </c>
      <c r="D19" t="s">
        <v>70</v>
      </c>
      <c r="E19" t="s">
        <v>88</v>
      </c>
      <c r="F19">
        <v>70590</v>
      </c>
      <c r="G19" t="s">
        <v>89</v>
      </c>
    </row>
    <row r="20" spans="1:7">
      <c r="A20" t="s">
        <v>90</v>
      </c>
      <c r="B20" t="s">
        <v>91</v>
      </c>
      <c r="C20" t="s">
        <v>9</v>
      </c>
      <c r="D20" t="s">
        <v>83</v>
      </c>
      <c r="E20" t="s">
        <v>92</v>
      </c>
      <c r="F20">
        <v>85541</v>
      </c>
      <c r="G20" t="s">
        <v>93</v>
      </c>
    </row>
    <row r="21" spans="1:7">
      <c r="A21" t="s">
        <v>94</v>
      </c>
      <c r="B21" t="s">
        <v>95</v>
      </c>
      <c r="C21" t="s">
        <v>96</v>
      </c>
      <c r="D21" t="s">
        <v>16</v>
      </c>
      <c r="E21" t="s">
        <v>97</v>
      </c>
      <c r="F21">
        <v>46362</v>
      </c>
      <c r="G21" t="s">
        <v>98</v>
      </c>
    </row>
    <row r="22" spans="1:7">
      <c r="A22" t="s">
        <v>99</v>
      </c>
      <c r="B22" t="s">
        <v>100</v>
      </c>
      <c r="C22" t="s">
        <v>27</v>
      </c>
      <c r="D22" t="s">
        <v>83</v>
      </c>
      <c r="E22" t="s">
        <v>101</v>
      </c>
      <c r="F22">
        <v>86951</v>
      </c>
      <c r="G22" t="s">
        <v>102</v>
      </c>
    </row>
    <row r="23" spans="1:7">
      <c r="A23" t="s">
        <v>103</v>
      </c>
      <c r="B23" t="s">
        <v>104</v>
      </c>
      <c r="C23" t="s">
        <v>15</v>
      </c>
      <c r="D23" t="s">
        <v>10</v>
      </c>
      <c r="E23" t="s">
        <v>105</v>
      </c>
      <c r="F23">
        <v>81106</v>
      </c>
      <c r="G23" t="s">
        <v>106</v>
      </c>
    </row>
    <row r="24" spans="1:7">
      <c r="A24" t="s">
        <v>107</v>
      </c>
      <c r="B24" t="s">
        <v>108</v>
      </c>
      <c r="C24" t="s">
        <v>15</v>
      </c>
      <c r="D24" t="s">
        <v>70</v>
      </c>
      <c r="E24" t="s">
        <v>109</v>
      </c>
      <c r="F24">
        <v>67682</v>
      </c>
      <c r="G24" t="s">
        <v>110</v>
      </c>
    </row>
    <row r="25" spans="1:7">
      <c r="A25" t="s">
        <v>111</v>
      </c>
      <c r="B25" t="s">
        <v>112</v>
      </c>
      <c r="C25" t="s">
        <v>9</v>
      </c>
      <c r="D25" t="s">
        <v>70</v>
      </c>
      <c r="E25" t="s">
        <v>113</v>
      </c>
      <c r="F25">
        <v>75441</v>
      </c>
      <c r="G25" t="s">
        <v>114</v>
      </c>
    </row>
    <row r="26" spans="1:7">
      <c r="A26" t="s">
        <v>115</v>
      </c>
      <c r="B26" t="s">
        <v>116</v>
      </c>
      <c r="C26" t="s">
        <v>21</v>
      </c>
      <c r="D26" t="s">
        <v>70</v>
      </c>
      <c r="E26" t="s">
        <v>117</v>
      </c>
      <c r="F26">
        <v>82366</v>
      </c>
      <c r="G26" t="s">
        <v>118</v>
      </c>
    </row>
    <row r="27" spans="1:7">
      <c r="A27" t="s">
        <v>119</v>
      </c>
      <c r="B27" t="s">
        <v>120</v>
      </c>
      <c r="C27" t="s">
        <v>9</v>
      </c>
      <c r="D27" t="s">
        <v>16</v>
      </c>
      <c r="E27" t="s">
        <v>121</v>
      </c>
      <c r="F27">
        <v>48226</v>
      </c>
      <c r="G27" t="s">
        <v>122</v>
      </c>
    </row>
    <row r="28" spans="1:7">
      <c r="A28" t="s">
        <v>123</v>
      </c>
      <c r="B28" t="s">
        <v>124</v>
      </c>
      <c r="C28" t="s">
        <v>44</v>
      </c>
      <c r="D28" t="s">
        <v>83</v>
      </c>
      <c r="E28" t="s">
        <v>125</v>
      </c>
      <c r="F28">
        <v>25868</v>
      </c>
      <c r="G28" t="s">
        <v>126</v>
      </c>
    </row>
    <row r="29" spans="1:7">
      <c r="A29" t="s">
        <v>127</v>
      </c>
      <c r="B29" t="s">
        <v>128</v>
      </c>
      <c r="C29" t="s">
        <v>96</v>
      </c>
      <c r="D29" t="s">
        <v>53</v>
      </c>
      <c r="E29" t="s">
        <v>129</v>
      </c>
      <c r="F29">
        <v>77434</v>
      </c>
      <c r="G29" t="s">
        <v>130</v>
      </c>
    </row>
    <row r="30" spans="1:7">
      <c r="A30" t="s">
        <v>131</v>
      </c>
      <c r="B30" t="s">
        <v>132</v>
      </c>
      <c r="C30" t="s">
        <v>21</v>
      </c>
      <c r="D30" t="s">
        <v>22</v>
      </c>
      <c r="E30" t="s">
        <v>133</v>
      </c>
      <c r="F30">
        <v>55722</v>
      </c>
      <c r="G30" t="s">
        <v>134</v>
      </c>
    </row>
    <row r="31" spans="1:7">
      <c r="A31" t="s">
        <v>135</v>
      </c>
      <c r="B31" t="s">
        <v>136</v>
      </c>
      <c r="C31" t="s">
        <v>15</v>
      </c>
      <c r="D31" t="s">
        <v>16</v>
      </c>
      <c r="E31" t="s">
        <v>137</v>
      </c>
      <c r="F31">
        <v>35165</v>
      </c>
      <c r="G31" t="s">
        <v>138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1" tint="4.9989318521683403E-2"/>
  </sheetPr>
  <dimension ref="A1:J31"/>
  <sheetViews>
    <sheetView tabSelected="1" workbookViewId="0">
      <selection activeCell="G13" sqref="G13"/>
    </sheetView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J1" s="1" t="s">
        <v>170</v>
      </c>
    </row>
    <row r="2" spans="1:10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49751</v>
      </c>
      <c r="G2" t="s">
        <v>12</v>
      </c>
      <c r="J2" t="s">
        <v>171</v>
      </c>
    </row>
    <row r="3" spans="1:10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72951</v>
      </c>
      <c r="G3" t="s">
        <v>18</v>
      </c>
      <c r="J3" t="s">
        <v>172</v>
      </c>
    </row>
    <row r="4" spans="1:10">
      <c r="A4" t="s">
        <v>19</v>
      </c>
      <c r="B4" t="s">
        <v>20</v>
      </c>
      <c r="C4" t="s">
        <v>21</v>
      </c>
      <c r="D4" t="s">
        <v>22</v>
      </c>
      <c r="E4" t="s">
        <v>23</v>
      </c>
      <c r="F4">
        <v>60590</v>
      </c>
      <c r="G4" t="s">
        <v>24</v>
      </c>
      <c r="J4" t="s">
        <v>173</v>
      </c>
    </row>
    <row r="5" spans="1:10">
      <c r="A5" t="s">
        <v>25</v>
      </c>
      <c r="B5" t="s">
        <v>26</v>
      </c>
      <c r="C5" t="s">
        <v>27</v>
      </c>
      <c r="D5" t="s">
        <v>16</v>
      </c>
      <c r="E5" t="s">
        <v>28</v>
      </c>
      <c r="F5">
        <v>54600</v>
      </c>
      <c r="G5" t="s">
        <v>29</v>
      </c>
      <c r="J5" t="s">
        <v>174</v>
      </c>
    </row>
    <row r="6" spans="1:10">
      <c r="A6" t="s">
        <v>30</v>
      </c>
      <c r="B6" t="s">
        <v>31</v>
      </c>
      <c r="C6" t="s">
        <v>9</v>
      </c>
      <c r="D6" t="s">
        <v>10</v>
      </c>
      <c r="E6" t="s">
        <v>32</v>
      </c>
      <c r="F6">
        <v>50022</v>
      </c>
      <c r="G6" t="s">
        <v>33</v>
      </c>
      <c r="J6" t="s">
        <v>175</v>
      </c>
    </row>
    <row r="7" spans="1:10">
      <c r="A7" t="s">
        <v>34</v>
      </c>
      <c r="B7" t="s">
        <v>35</v>
      </c>
      <c r="C7" t="s">
        <v>15</v>
      </c>
      <c r="D7" t="s">
        <v>22</v>
      </c>
      <c r="E7" t="s">
        <v>36</v>
      </c>
      <c r="F7">
        <v>87572</v>
      </c>
      <c r="G7" t="s">
        <v>37</v>
      </c>
    </row>
    <row r="8" spans="1:10">
      <c r="A8" t="s">
        <v>38</v>
      </c>
      <c r="B8" t="s">
        <v>39</v>
      </c>
      <c r="C8" t="s">
        <v>27</v>
      </c>
      <c r="D8" t="s">
        <v>22</v>
      </c>
      <c r="E8" t="s">
        <v>40</v>
      </c>
      <c r="F8">
        <v>26005</v>
      </c>
      <c r="G8" t="s">
        <v>41</v>
      </c>
    </row>
    <row r="9" spans="1:10">
      <c r="A9" t="s">
        <v>42</v>
      </c>
      <c r="B9" t="s">
        <v>43</v>
      </c>
      <c r="C9" t="s">
        <v>44</v>
      </c>
      <c r="D9" t="s">
        <v>10</v>
      </c>
      <c r="E9" t="s">
        <v>45</v>
      </c>
      <c r="F9">
        <v>48840</v>
      </c>
      <c r="G9" t="s">
        <v>46</v>
      </c>
    </row>
    <row r="10" spans="1:10">
      <c r="A10" t="s">
        <v>47</v>
      </c>
      <c r="B10" t="s">
        <v>48</v>
      </c>
      <c r="C10" t="s">
        <v>44</v>
      </c>
      <c r="D10" t="s">
        <v>22</v>
      </c>
      <c r="E10" t="s">
        <v>49</v>
      </c>
      <c r="F10">
        <v>53903</v>
      </c>
      <c r="G10" t="s">
        <v>50</v>
      </c>
    </row>
    <row r="11" spans="1:10">
      <c r="A11" t="s">
        <v>51</v>
      </c>
      <c r="B11" t="s">
        <v>52</v>
      </c>
      <c r="C11" t="s">
        <v>27</v>
      </c>
      <c r="D11" t="s">
        <v>53</v>
      </c>
      <c r="E11" t="s">
        <v>54</v>
      </c>
      <c r="F11">
        <v>80523</v>
      </c>
      <c r="G11" t="s">
        <v>55</v>
      </c>
    </row>
    <row r="12" spans="1:10">
      <c r="A12" t="s">
        <v>56</v>
      </c>
      <c r="B12" t="s">
        <v>57</v>
      </c>
      <c r="C12" t="s">
        <v>27</v>
      </c>
      <c r="D12" t="s">
        <v>16</v>
      </c>
      <c r="E12" t="s">
        <v>58</v>
      </c>
      <c r="F12">
        <v>58568</v>
      </c>
      <c r="G12" t="s">
        <v>59</v>
      </c>
    </row>
    <row r="13" spans="1:10">
      <c r="A13" t="s">
        <v>60</v>
      </c>
      <c r="B13" t="s">
        <v>61</v>
      </c>
      <c r="C13" t="s">
        <v>15</v>
      </c>
      <c r="D13" t="s">
        <v>10</v>
      </c>
      <c r="E13" t="s">
        <v>62</v>
      </c>
      <c r="F13">
        <v>67244</v>
      </c>
      <c r="G13" t="s">
        <v>63</v>
      </c>
    </row>
    <row r="14" spans="1:10">
      <c r="A14" t="s">
        <v>64</v>
      </c>
      <c r="B14" t="s">
        <v>65</v>
      </c>
      <c r="C14" t="s">
        <v>21</v>
      </c>
      <c r="D14" t="s">
        <v>10</v>
      </c>
      <c r="E14" t="s">
        <v>66</v>
      </c>
      <c r="F14">
        <v>28042</v>
      </c>
      <c r="G14" t="s">
        <v>67</v>
      </c>
    </row>
    <row r="15" spans="1:10">
      <c r="A15" t="s">
        <v>68</v>
      </c>
      <c r="B15" t="s">
        <v>69</v>
      </c>
      <c r="C15" t="s">
        <v>21</v>
      </c>
      <c r="D15" t="s">
        <v>70</v>
      </c>
      <c r="E15" t="s">
        <v>71</v>
      </c>
      <c r="F15">
        <v>73360</v>
      </c>
      <c r="G15" t="s">
        <v>72</v>
      </c>
    </row>
    <row r="16" spans="1:10">
      <c r="A16" t="s">
        <v>73</v>
      </c>
      <c r="B16" t="s">
        <v>74</v>
      </c>
      <c r="C16" t="s">
        <v>27</v>
      </c>
      <c r="D16" t="s">
        <v>70</v>
      </c>
      <c r="E16" t="s">
        <v>75</v>
      </c>
      <c r="F16">
        <v>34486</v>
      </c>
      <c r="G16" t="s">
        <v>76</v>
      </c>
    </row>
    <row r="17" spans="1:7">
      <c r="A17" t="s">
        <v>77</v>
      </c>
      <c r="B17" t="s">
        <v>78</v>
      </c>
      <c r="C17" t="s">
        <v>44</v>
      </c>
      <c r="D17" t="s">
        <v>70</v>
      </c>
      <c r="E17" t="s">
        <v>79</v>
      </c>
      <c r="F17">
        <v>25288</v>
      </c>
      <c r="G17" t="s">
        <v>80</v>
      </c>
    </row>
    <row r="18" spans="1:7">
      <c r="A18" t="s">
        <v>81</v>
      </c>
      <c r="B18" t="s">
        <v>82</v>
      </c>
      <c r="C18" t="s">
        <v>15</v>
      </c>
      <c r="D18" t="s">
        <v>83</v>
      </c>
      <c r="E18" t="s">
        <v>84</v>
      </c>
      <c r="F18">
        <v>66099</v>
      </c>
      <c r="G18" t="s">
        <v>85</v>
      </c>
    </row>
    <row r="19" spans="1:7">
      <c r="A19" t="s">
        <v>86</v>
      </c>
      <c r="B19" t="s">
        <v>87</v>
      </c>
      <c r="C19" t="s">
        <v>15</v>
      </c>
      <c r="D19" t="s">
        <v>70</v>
      </c>
      <c r="E19" t="s">
        <v>88</v>
      </c>
      <c r="F19">
        <v>70590</v>
      </c>
      <c r="G19" t="s">
        <v>89</v>
      </c>
    </row>
    <row r="20" spans="1:7">
      <c r="A20" t="s">
        <v>90</v>
      </c>
      <c r="B20" t="s">
        <v>91</v>
      </c>
      <c r="C20" t="s">
        <v>9</v>
      </c>
      <c r="D20" t="s">
        <v>83</v>
      </c>
      <c r="E20" t="s">
        <v>92</v>
      </c>
      <c r="F20">
        <v>85541</v>
      </c>
      <c r="G20" t="s">
        <v>93</v>
      </c>
    </row>
    <row r="21" spans="1:7">
      <c r="A21" t="s">
        <v>94</v>
      </c>
      <c r="B21" t="s">
        <v>95</v>
      </c>
      <c r="C21" t="s">
        <v>96</v>
      </c>
      <c r="D21" t="s">
        <v>16</v>
      </c>
      <c r="E21" t="s">
        <v>97</v>
      </c>
      <c r="F21">
        <v>46362</v>
      </c>
      <c r="G21" t="s">
        <v>98</v>
      </c>
    </row>
    <row r="22" spans="1:7">
      <c r="A22" t="s">
        <v>99</v>
      </c>
      <c r="B22" t="s">
        <v>100</v>
      </c>
      <c r="C22" t="s">
        <v>27</v>
      </c>
      <c r="D22" t="s">
        <v>83</v>
      </c>
      <c r="E22" t="s">
        <v>101</v>
      </c>
      <c r="F22">
        <v>86951</v>
      </c>
      <c r="G22" t="s">
        <v>102</v>
      </c>
    </row>
    <row r="23" spans="1:7">
      <c r="A23" t="s">
        <v>103</v>
      </c>
      <c r="B23" t="s">
        <v>104</v>
      </c>
      <c r="C23" t="s">
        <v>15</v>
      </c>
      <c r="D23" t="s">
        <v>10</v>
      </c>
      <c r="E23" t="s">
        <v>105</v>
      </c>
      <c r="F23">
        <v>81106</v>
      </c>
      <c r="G23" t="s">
        <v>106</v>
      </c>
    </row>
    <row r="24" spans="1:7">
      <c r="A24" t="s">
        <v>107</v>
      </c>
      <c r="B24" t="s">
        <v>108</v>
      </c>
      <c r="C24" t="s">
        <v>15</v>
      </c>
      <c r="D24" t="s">
        <v>70</v>
      </c>
      <c r="E24" t="s">
        <v>109</v>
      </c>
      <c r="F24">
        <v>67682</v>
      </c>
      <c r="G24" t="s">
        <v>110</v>
      </c>
    </row>
    <row r="25" spans="1:7">
      <c r="A25" t="s">
        <v>111</v>
      </c>
      <c r="B25" t="s">
        <v>112</v>
      </c>
      <c r="C25" t="s">
        <v>9</v>
      </c>
      <c r="D25" t="s">
        <v>70</v>
      </c>
      <c r="E25" t="s">
        <v>113</v>
      </c>
      <c r="F25">
        <v>75441</v>
      </c>
      <c r="G25" t="s">
        <v>114</v>
      </c>
    </row>
    <row r="26" spans="1:7">
      <c r="A26" t="s">
        <v>115</v>
      </c>
      <c r="B26" t="s">
        <v>116</v>
      </c>
      <c r="C26" t="s">
        <v>21</v>
      </c>
      <c r="D26" t="s">
        <v>70</v>
      </c>
      <c r="E26" t="s">
        <v>117</v>
      </c>
      <c r="F26">
        <v>82366</v>
      </c>
      <c r="G26" t="s">
        <v>118</v>
      </c>
    </row>
    <row r="27" spans="1:7">
      <c r="A27" t="s">
        <v>119</v>
      </c>
      <c r="B27" t="s">
        <v>120</v>
      </c>
      <c r="C27" t="s">
        <v>9</v>
      </c>
      <c r="D27" t="s">
        <v>16</v>
      </c>
      <c r="E27" t="s">
        <v>121</v>
      </c>
      <c r="F27">
        <v>48226</v>
      </c>
      <c r="G27" t="s">
        <v>122</v>
      </c>
    </row>
    <row r="28" spans="1:7">
      <c r="A28" t="s">
        <v>123</v>
      </c>
      <c r="B28" t="s">
        <v>124</v>
      </c>
      <c r="C28" t="s">
        <v>44</v>
      </c>
      <c r="D28" t="s">
        <v>83</v>
      </c>
      <c r="E28" t="s">
        <v>125</v>
      </c>
      <c r="F28">
        <v>25868</v>
      </c>
      <c r="G28" t="s">
        <v>126</v>
      </c>
    </row>
    <row r="29" spans="1:7">
      <c r="A29" t="s">
        <v>127</v>
      </c>
      <c r="B29" t="s">
        <v>128</v>
      </c>
      <c r="C29" t="s">
        <v>96</v>
      </c>
      <c r="D29" t="s">
        <v>53</v>
      </c>
      <c r="E29" t="s">
        <v>129</v>
      </c>
      <c r="F29">
        <v>77434</v>
      </c>
      <c r="G29" t="s">
        <v>130</v>
      </c>
    </row>
    <row r="30" spans="1:7">
      <c r="A30" t="s">
        <v>131</v>
      </c>
      <c r="B30" t="s">
        <v>132</v>
      </c>
      <c r="C30" t="s">
        <v>21</v>
      </c>
      <c r="D30" t="s">
        <v>22</v>
      </c>
      <c r="E30" t="s">
        <v>133</v>
      </c>
      <c r="F30">
        <v>55722</v>
      </c>
      <c r="G30" t="s">
        <v>134</v>
      </c>
    </row>
    <row r="31" spans="1:7">
      <c r="A31" t="s">
        <v>135</v>
      </c>
      <c r="B31" t="s">
        <v>136</v>
      </c>
      <c r="C31" t="s">
        <v>15</v>
      </c>
      <c r="D31" t="s">
        <v>16</v>
      </c>
      <c r="E31" t="s">
        <v>137</v>
      </c>
      <c r="F31">
        <v>35165</v>
      </c>
      <c r="G31" t="s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Topics</vt:lpstr>
      <vt:lpstr>Notes</vt:lpstr>
      <vt:lpstr>Main Data</vt:lpstr>
      <vt:lpstr>Sort &amp; Filter</vt:lpstr>
      <vt:lpstr>Find &amp; Replace</vt:lpstr>
      <vt:lpstr>Text to Columns</vt:lpstr>
      <vt:lpstr>Data Validation</vt:lpstr>
      <vt:lpstr>Remove Duplicates</vt:lpstr>
      <vt:lpstr>Group &amp; Ungroup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Shankh Chatterjee</cp:lastModifiedBy>
  <dcterms:created xsi:type="dcterms:W3CDTF">2025-08-22T13:53:59Z</dcterms:created>
  <dcterms:modified xsi:type="dcterms:W3CDTF">2026-03-06T05:54:31Z</dcterms:modified>
</cp:coreProperties>
</file>